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ssia\Downloads\"/>
    </mc:Choice>
  </mc:AlternateContent>
  <xr:revisionPtr revIDLastSave="0" documentId="13_ncr:1_{8C3E72B9-BEA9-4B9D-9D87-8A5B0D25A7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azones Financiera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5" l="1"/>
  <c r="F19" i="5"/>
  <c r="E19" i="5"/>
  <c r="D19" i="5"/>
  <c r="C19" i="5"/>
  <c r="O31" i="5"/>
  <c r="G18" i="5" s="1"/>
  <c r="N31" i="5"/>
  <c r="F18" i="5" s="1"/>
  <c r="M31" i="5"/>
  <c r="E18" i="5" s="1"/>
  <c r="L31" i="5"/>
  <c r="D18" i="5" s="1"/>
  <c r="K31" i="5"/>
  <c r="C18" i="5" s="1"/>
  <c r="O28" i="5"/>
  <c r="O26" i="5"/>
  <c r="N28" i="5"/>
  <c r="N26" i="5"/>
  <c r="M28" i="5"/>
  <c r="M26" i="5"/>
  <c r="E20" i="5" s="1"/>
  <c r="L28" i="5"/>
  <c r="L26" i="5"/>
  <c r="K28" i="5"/>
  <c r="K26" i="5"/>
  <c r="G12" i="5"/>
  <c r="G11" i="5"/>
  <c r="G10" i="5"/>
  <c r="F12" i="5"/>
  <c r="F11" i="5"/>
  <c r="F10" i="5"/>
  <c r="E12" i="5"/>
  <c r="E10" i="5"/>
  <c r="E11" i="5"/>
  <c r="D12" i="5"/>
  <c r="D11" i="5"/>
  <c r="D10" i="5"/>
  <c r="C12" i="5"/>
  <c r="C11" i="5"/>
  <c r="C10" i="5"/>
  <c r="F6" i="5"/>
  <c r="E6" i="5"/>
  <c r="D6" i="5"/>
  <c r="C6" i="5"/>
  <c r="L16" i="5"/>
  <c r="D8" i="5" s="1"/>
  <c r="L19" i="5"/>
  <c r="G6" i="5"/>
  <c r="O19" i="5"/>
  <c r="O18" i="5"/>
  <c r="O16" i="5"/>
  <c r="G8" i="5" s="1"/>
  <c r="O44" i="5"/>
  <c r="O13" i="5" s="1"/>
  <c r="G7" i="5" s="1"/>
  <c r="N19" i="5"/>
  <c r="N18" i="5"/>
  <c r="N16" i="5"/>
  <c r="F8" i="5" s="1"/>
  <c r="N13" i="5"/>
  <c r="F7" i="5" s="1"/>
  <c r="M19" i="5"/>
  <c r="M18" i="5"/>
  <c r="M16" i="5"/>
  <c r="E8" i="5" s="1"/>
  <c r="M13" i="5"/>
  <c r="E7" i="5" s="1"/>
  <c r="L18" i="5"/>
  <c r="L13" i="5"/>
  <c r="D7" i="5" s="1"/>
  <c r="K19" i="5"/>
  <c r="K18" i="5"/>
  <c r="K16" i="5"/>
  <c r="C8" i="5" s="1"/>
  <c r="K13" i="5"/>
  <c r="C7" i="5" s="1"/>
  <c r="L35" i="5"/>
  <c r="L33" i="5" s="1"/>
  <c r="O6" i="5"/>
  <c r="O36" i="5"/>
  <c r="O35" i="5"/>
  <c r="O33" i="5" s="1"/>
  <c r="O2" i="5"/>
  <c r="N6" i="5"/>
  <c r="N36" i="5"/>
  <c r="N35" i="5"/>
  <c r="N33" i="5" s="1"/>
  <c r="N2" i="5"/>
  <c r="M6" i="5"/>
  <c r="M36" i="5"/>
  <c r="M33" i="5"/>
  <c r="M2" i="5"/>
  <c r="E5" i="5" s="1"/>
  <c r="L6" i="5"/>
  <c r="L36" i="5"/>
  <c r="L2" i="5"/>
  <c r="D5" i="5" s="1"/>
  <c r="K36" i="5"/>
  <c r="K35" i="5"/>
  <c r="K33" i="5" s="1"/>
  <c r="K6" i="5"/>
  <c r="K2" i="5"/>
  <c r="C5" i="5" s="1"/>
  <c r="G16" i="5" l="1"/>
  <c r="O27" i="5"/>
  <c r="G17" i="5" s="1"/>
  <c r="L27" i="5"/>
  <c r="D15" i="5" s="1"/>
  <c r="G3" i="5"/>
  <c r="G13" i="5"/>
  <c r="G14" i="5" s="1"/>
  <c r="G9" i="5"/>
  <c r="F3" i="5"/>
  <c r="F16" i="5"/>
  <c r="F13" i="5"/>
  <c r="F14" i="5" s="1"/>
  <c r="N27" i="5"/>
  <c r="F2" i="5"/>
  <c r="M27" i="5"/>
  <c r="E17" i="5" s="1"/>
  <c r="E13" i="5"/>
  <c r="E14" i="5" s="1"/>
  <c r="E9" i="5"/>
  <c r="D13" i="5"/>
  <c r="D14" i="5" s="1"/>
  <c r="D16" i="5"/>
  <c r="K27" i="5"/>
  <c r="C17" i="5" s="1"/>
  <c r="C16" i="5"/>
  <c r="C4" i="5"/>
  <c r="C20" i="5"/>
  <c r="E16" i="5"/>
  <c r="F20" i="5"/>
  <c r="D20" i="5"/>
  <c r="C3" i="5"/>
  <c r="E4" i="5"/>
  <c r="F9" i="5"/>
  <c r="G20" i="5"/>
  <c r="F4" i="5"/>
  <c r="C13" i="5"/>
  <c r="C14" i="5" s="1"/>
  <c r="C2" i="5"/>
  <c r="D3" i="5"/>
  <c r="E3" i="5"/>
  <c r="G2" i="5"/>
  <c r="D2" i="5"/>
  <c r="C9" i="5"/>
  <c r="D4" i="5"/>
  <c r="E2" i="5"/>
  <c r="F5" i="5"/>
  <c r="G5" i="5"/>
  <c r="D9" i="5"/>
  <c r="G4" i="5"/>
  <c r="D17" i="5" l="1"/>
  <c r="G15" i="5"/>
  <c r="F15" i="5"/>
  <c r="F17" i="5"/>
  <c r="E15" i="5"/>
  <c r="C15" i="5"/>
</calcChain>
</file>

<file path=xl/sharedStrings.xml><?xml version="1.0" encoding="utf-8"?>
<sst xmlns="http://schemas.openxmlformats.org/spreadsheetml/2006/main" count="95" uniqueCount="69">
  <si>
    <t>2021</t>
  </si>
  <si>
    <t>2022</t>
  </si>
  <si>
    <t>2023</t>
  </si>
  <si>
    <t>2024</t>
  </si>
  <si>
    <t>2025</t>
  </si>
  <si>
    <t>Inversiones</t>
  </si>
  <si>
    <t>Activo Circulante / Pasivo Circulante</t>
  </si>
  <si>
    <t>Activos Circulantes</t>
  </si>
  <si>
    <t>Activos Disponibles</t>
  </si>
  <si>
    <t>Caja y Bancos</t>
  </si>
  <si>
    <t>Deudores</t>
  </si>
  <si>
    <t>Reaseguradores y Afianzadores</t>
  </si>
  <si>
    <t>Pasivo Exigible</t>
  </si>
  <si>
    <t>Pasivo Circulante</t>
  </si>
  <si>
    <t>Por Pólizas Vencidas</t>
  </si>
  <si>
    <t>Reserva para Obligaciones Laborales</t>
  </si>
  <si>
    <t>Agentes y Ajustadores</t>
  </si>
  <si>
    <t>Acreedores</t>
  </si>
  <si>
    <t>Diversos</t>
  </si>
  <si>
    <t>Reaseguradores y Reafianzadores</t>
  </si>
  <si>
    <t>Instituciones de Seguros y Fianzas</t>
  </si>
  <si>
    <t>Provisión para la Participación de los Trabajadores en la Utilidad</t>
  </si>
  <si>
    <t>Provisión para el Pago de Impuestos</t>
  </si>
  <si>
    <t>Otras Obligaciones</t>
  </si>
  <si>
    <t>Reservas Técnicas</t>
  </si>
  <si>
    <t>Activo Disponible / Pasivo Exigible</t>
  </si>
  <si>
    <t>Activo Circulante / Reservas Técnicas</t>
  </si>
  <si>
    <t>Activo Circulante / Pasivo Exigible</t>
  </si>
  <si>
    <t>Activos Totales</t>
  </si>
  <si>
    <t>Pasivos Totales</t>
  </si>
  <si>
    <t>Activos Fijos</t>
  </si>
  <si>
    <t>Reserva de Riesgos en Curso</t>
  </si>
  <si>
    <t>Reserva para Obligaciones Pendientes de Cumplir</t>
  </si>
  <si>
    <t>Capital Contable</t>
  </si>
  <si>
    <t>Otros Activos</t>
  </si>
  <si>
    <t>Otras Inversiones Permanentes</t>
  </si>
  <si>
    <t>Activo Total / Pasivo Total</t>
  </si>
  <si>
    <t>(Activo Total - Fijo) / (Pasivo Total - Rva. Rgos. Curso - Rva. Oblig. Pend. Cumpl. )</t>
  </si>
  <si>
    <t>Pasivo Total / Capital Contable</t>
  </si>
  <si>
    <t>Reservas Técnicas / Capital Contable</t>
  </si>
  <si>
    <t>Liquidez</t>
  </si>
  <si>
    <t>Solvencia y Apalancamiento</t>
  </si>
  <si>
    <t>Suficiencia de la Prima</t>
  </si>
  <si>
    <t>Reaseguro</t>
  </si>
  <si>
    <t>Rentabilidad</t>
  </si>
  <si>
    <t>Costo Medio de Operación</t>
  </si>
  <si>
    <t>Costo Medio de Adquisición</t>
  </si>
  <si>
    <t>Costo Medio de Siniestralidad</t>
  </si>
  <si>
    <t>Índice Combinado</t>
  </si>
  <si>
    <t>Prima Cedida / Prima Emitida</t>
  </si>
  <si>
    <t>Prima Retenida / Prima Emitida</t>
  </si>
  <si>
    <t>Com. Reas. Ced. / Prima Cedida</t>
  </si>
  <si>
    <t>Utilidad Neta / Cap. Contable</t>
  </si>
  <si>
    <t>Utilidad Neta / Cap. Pago</t>
  </si>
  <si>
    <t>Utilidad Neta / Prima Emitida</t>
  </si>
  <si>
    <t>Costo de operación</t>
  </si>
  <si>
    <t>Prima Emitida</t>
  </si>
  <si>
    <t>Costo neto de adquisición</t>
  </si>
  <si>
    <t>Prima Retenida</t>
  </si>
  <si>
    <t>Costo de siniestralidad</t>
  </si>
  <si>
    <t>Primas de Retención Devengadas</t>
  </si>
  <si>
    <t>Prima Cedida</t>
  </si>
  <si>
    <t>Comisión del reaseguro cedido</t>
  </si>
  <si>
    <t>Utilidad neta</t>
  </si>
  <si>
    <t>Capital contable</t>
  </si>
  <si>
    <t>Capital pagado</t>
  </si>
  <si>
    <t>Razon</t>
  </si>
  <si>
    <t>Categoria</t>
  </si>
  <si>
    <t>Cuentas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</si>
</sst>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1" applyFont="1"/>
    <xf numFmtId="4" fontId="1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14">
    <dxf>
      <alignment horizontal="general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colors>
    <mruColors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AB9940-03EC-4C41-B49A-7FF8DFFEDF8E}" name="Razones_anuales" displayName="Razones_anuales" ref="A1:G20" totalsRowShown="0" dataDxfId="9" dataCellStyle="Percent">
  <autoFilter ref="A1:G20" xr:uid="{5EAB9940-03EC-4C41-B49A-7FF8DFFEDF8E}"/>
  <tableColumns count="7">
    <tableColumn id="1" xr3:uid="{59C0A8B2-6196-4E9B-A122-DD093FAF5E4D}" name="Categoria" dataDxfId="8"/>
    <tableColumn id="2" xr3:uid="{4AD5B396-F225-4A9D-B9E9-F183252CBCEA}" name="Razon" dataDxfId="6"/>
    <tableColumn id="3" xr3:uid="{0D4B5621-04B2-46DF-9424-A9A19D16B074}" name="2021" dataDxfId="7" dataCellStyle="Percent"/>
    <tableColumn id="4" xr3:uid="{898D76D6-37A5-4BF7-8B84-2B632B73D1E0}" name="2022" dataDxfId="13" dataCellStyle="Percent"/>
    <tableColumn id="5" xr3:uid="{B0C871FA-7CB7-49F2-A39B-3AE072FED222}" name="2023" dataDxfId="12" dataCellStyle="Percent"/>
    <tableColumn id="6" xr3:uid="{E4ECEBED-4ADF-4802-A6C9-54C161718666}" name="2024" dataDxfId="11" dataCellStyle="Percent"/>
    <tableColumn id="7" xr3:uid="{6BF6E42B-4C53-468A-9540-7FBCF30AEEA7}" name="2025" dataDxfId="10" dataCellStyle="Percent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00F51-8ABA-4A6C-9472-044C7941AD96}" name="Cuentas_anuales" displayName="Cuentas_anuales" ref="J1:O45" totalsRowShown="0" headerRowDxfId="0">
  <autoFilter ref="J1:O45" xr:uid="{3FB00F51-8ABA-4A6C-9472-044C7941AD96}"/>
  <tableColumns count="6">
    <tableColumn id="1" xr3:uid="{46C6CF43-FC07-4E8B-A365-71B071BC9994}" name="Cuentas"/>
    <tableColumn id="2" xr3:uid="{30CBD2B4-13C5-43E9-AE8E-8B26FAD8F70C}" name="2021" dataDxfId="5"/>
    <tableColumn id="3" xr3:uid="{3813EC42-7DD8-497F-915A-FF6F7DC6131B}" name="2022" dataDxfId="4"/>
    <tableColumn id="4" xr3:uid="{F3F69F7C-A1EB-4BE8-839E-EF93D41E1F5B}" name="2023" dataDxfId="3"/>
    <tableColumn id="5" xr3:uid="{FFD440BB-8F0E-4969-8EE7-DFB1D9A964BD}" name="2024" dataDxfId="2"/>
    <tableColumn id="6" xr3:uid="{C171BBFF-4B55-4C64-8ACB-E433F41EC8B3}" name="2025" dataDxfId="1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5"/>
  <sheetViews>
    <sheetView tabSelected="1" zoomScale="80" zoomScaleNormal="80" workbookViewId="0">
      <selection activeCell="E9" sqref="E9"/>
    </sheetView>
  </sheetViews>
  <sheetFormatPr defaultColWidth="11.42578125" defaultRowHeight="15" x14ac:dyDescent="0.25"/>
  <cols>
    <col min="1" max="1" width="24.140625" bestFit="1" customWidth="1"/>
    <col min="2" max="2" width="80" bestFit="1" customWidth="1"/>
    <col min="3" max="7" width="13" bestFit="1" customWidth="1"/>
    <col min="8" max="8" width="11.5703125" bestFit="1" customWidth="1"/>
    <col min="10" max="10" width="67.140625" bestFit="1" customWidth="1"/>
    <col min="11" max="15" width="18.7109375" bestFit="1" customWidth="1"/>
    <col min="17" max="17" width="20" customWidth="1"/>
    <col min="20" max="20" width="26.140625" bestFit="1" customWidth="1"/>
    <col min="23" max="23" width="23.7109375" bestFit="1" customWidth="1"/>
    <col min="26" max="26" width="26" bestFit="1" customWidth="1"/>
    <col min="29" max="29" width="23.7109375" bestFit="1" customWidth="1"/>
    <col min="32" max="32" width="19.140625" bestFit="1" customWidth="1"/>
    <col min="35" max="35" width="19.140625" bestFit="1" customWidth="1"/>
    <col min="38" max="38" width="19.140625" bestFit="1" customWidth="1"/>
  </cols>
  <sheetData>
    <row r="1" spans="1:38" x14ac:dyDescent="0.25">
      <c r="A1" t="s">
        <v>67</v>
      </c>
      <c r="B1" t="s">
        <v>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J1" s="11" t="s">
        <v>68</v>
      </c>
      <c r="K1" s="11" t="s">
        <v>0</v>
      </c>
      <c r="L1" s="11" t="s">
        <v>1</v>
      </c>
      <c r="M1" s="11" t="s">
        <v>2</v>
      </c>
      <c r="N1" s="11" t="s">
        <v>3</v>
      </c>
      <c r="O1" s="11" t="s">
        <v>4</v>
      </c>
      <c r="P1" s="11"/>
      <c r="Q1" s="11"/>
      <c r="R1" s="11"/>
      <c r="S1" s="11"/>
      <c r="T1" s="11"/>
      <c r="U1" s="11"/>
      <c r="V1" s="11"/>
      <c r="W1" s="11"/>
      <c r="AJ1" s="11"/>
      <c r="AK1" s="11"/>
      <c r="AL1" s="11"/>
    </row>
    <row r="2" spans="1:38" x14ac:dyDescent="0.25">
      <c r="A2" s="6" t="s">
        <v>40</v>
      </c>
      <c r="B2" s="10" t="s">
        <v>6</v>
      </c>
      <c r="C2">
        <f>K2/K6</f>
        <v>1.9308623644973442</v>
      </c>
      <c r="D2">
        <f>L2/L6</f>
        <v>2.6724199679085081</v>
      </c>
      <c r="E2">
        <f>M2/M6</f>
        <v>2.0766355387554363</v>
      </c>
      <c r="F2">
        <f>N2/N6</f>
        <v>2.3255428085423406</v>
      </c>
      <c r="G2">
        <f>O2/O6</f>
        <v>2.5146355810818979</v>
      </c>
      <c r="J2" s="3" t="s">
        <v>7</v>
      </c>
      <c r="K2" s="4">
        <f>K3+K4+K5</f>
        <v>11317313938.380001</v>
      </c>
      <c r="L2" s="4">
        <f>L3+L4+L5</f>
        <v>13042059574.25</v>
      </c>
      <c r="M2" s="4">
        <f>M3+M4+M5</f>
        <v>15965247839.43</v>
      </c>
      <c r="N2" s="4">
        <f>N3+N4+N5</f>
        <v>21013269896.289997</v>
      </c>
      <c r="O2" s="4">
        <f>O3+O4+O5</f>
        <v>21686224662.509998</v>
      </c>
      <c r="P2" s="3"/>
      <c r="S2" s="3"/>
      <c r="V2" s="3"/>
    </row>
    <row r="3" spans="1:38" x14ac:dyDescent="0.25">
      <c r="A3" s="6" t="s">
        <v>40</v>
      </c>
      <c r="B3" s="10" t="s">
        <v>25</v>
      </c>
      <c r="C3">
        <f>K33/K36</f>
        <v>7.7436318494102228</v>
      </c>
      <c r="D3">
        <f>L33/L36</f>
        <v>7.8490857618726659</v>
      </c>
      <c r="E3">
        <f>M33/M36</f>
        <v>6.7633361955774571</v>
      </c>
      <c r="F3">
        <f>N33/N36</f>
        <v>6.3912320501608715</v>
      </c>
      <c r="G3">
        <f>O33/O36</f>
        <v>5.9876110560543756</v>
      </c>
      <c r="J3" t="s">
        <v>9</v>
      </c>
      <c r="K3" s="5">
        <v>1060173763.8200001</v>
      </c>
      <c r="L3" s="5">
        <v>1234310526.3900001</v>
      </c>
      <c r="M3" s="5">
        <v>1191694549.1900001</v>
      </c>
      <c r="N3" s="5">
        <v>1680225124.1400001</v>
      </c>
      <c r="O3" s="5">
        <v>1709854657.5999999</v>
      </c>
    </row>
    <row r="4" spans="1:38" x14ac:dyDescent="0.25">
      <c r="A4" s="6" t="s">
        <v>40</v>
      </c>
      <c r="B4" s="10" t="s">
        <v>27</v>
      </c>
      <c r="C4">
        <f>K2/K36</f>
        <v>0.74540160610823625</v>
      </c>
      <c r="D4">
        <f>L2/L36</f>
        <v>0.83000504388985163</v>
      </c>
      <c r="E4">
        <f>M2/M36</f>
        <v>0.85026893074672383</v>
      </c>
      <c r="F4">
        <f>N2/N36</f>
        <v>0.94979809107265367</v>
      </c>
      <c r="G4">
        <f>O2/O36</f>
        <v>0.89571152623506811</v>
      </c>
      <c r="J4" t="s">
        <v>10</v>
      </c>
      <c r="K4" s="5">
        <v>8698109302.3700008</v>
      </c>
      <c r="L4" s="5">
        <v>10619256272.540001</v>
      </c>
      <c r="M4" s="5">
        <v>12968554535.879999</v>
      </c>
      <c r="N4" s="5">
        <v>17780957836.279999</v>
      </c>
      <c r="O4" s="5">
        <v>18396413522.869999</v>
      </c>
    </row>
    <row r="5" spans="1:38" x14ac:dyDescent="0.25">
      <c r="A5" s="6" t="s">
        <v>40</v>
      </c>
      <c r="B5" s="10" t="s">
        <v>26</v>
      </c>
      <c r="C5">
        <f>K2/K10</f>
        <v>0.10222510774402151</v>
      </c>
      <c r="D5">
        <f>L2/L10</f>
        <v>0.13165303913915527</v>
      </c>
      <c r="E5">
        <f>M2/M10</f>
        <v>0.13375801326379244</v>
      </c>
      <c r="F5">
        <f>N2/N10</f>
        <v>0.16265024148857127</v>
      </c>
      <c r="G5">
        <f>O2/O10</f>
        <v>0.16682499555134567</v>
      </c>
      <c r="J5" t="s">
        <v>11</v>
      </c>
      <c r="K5" s="5">
        <v>1559030872.1900001</v>
      </c>
      <c r="L5" s="5">
        <v>1188492775.3199999</v>
      </c>
      <c r="M5" s="5">
        <v>1804998754.3599999</v>
      </c>
      <c r="N5" s="5">
        <v>1552086935.8699999</v>
      </c>
      <c r="O5" s="5">
        <v>1579956482.04</v>
      </c>
    </row>
    <row r="6" spans="1:38" ht="30" x14ac:dyDescent="0.25">
      <c r="A6" s="7" t="s">
        <v>41</v>
      </c>
      <c r="B6" s="10" t="s">
        <v>36</v>
      </c>
      <c r="C6">
        <f>K11/K12</f>
        <v>1.1066803306223401</v>
      </c>
      <c r="D6">
        <f>L11/L12</f>
        <v>1.1526100295893713</v>
      </c>
      <c r="E6">
        <f>M11/M12</f>
        <v>1.148572330987627</v>
      </c>
      <c r="F6">
        <f>N11/N12</f>
        <v>1.1582399341934637</v>
      </c>
      <c r="G6">
        <f>O11/O12</f>
        <v>1.1822051942120644</v>
      </c>
      <c r="J6" s="3" t="s">
        <v>13</v>
      </c>
      <c r="K6" s="4">
        <f>K7+K8+K9</f>
        <v>5861274291.9800005</v>
      </c>
      <c r="L6" s="4">
        <f>L7+L8+L9</f>
        <v>4880243274.21</v>
      </c>
      <c r="M6" s="4">
        <f>M7+M8+M9</f>
        <v>7688035546.6700001</v>
      </c>
      <c r="N6" s="4">
        <f>N7+N8+N9</f>
        <v>9035855981.2799988</v>
      </c>
      <c r="O6" s="4">
        <f>O7+O8+O9</f>
        <v>8624002947.2499981</v>
      </c>
      <c r="P6" s="3"/>
      <c r="S6" s="3"/>
      <c r="V6" s="3"/>
    </row>
    <row r="7" spans="1:38" ht="30" x14ac:dyDescent="0.25">
      <c r="A7" s="7" t="s">
        <v>41</v>
      </c>
      <c r="B7" s="10" t="s">
        <v>37</v>
      </c>
      <c r="C7">
        <f>(K11-K13)/(K12-K14-K15)</f>
        <v>13.142699688311591</v>
      </c>
      <c r="D7">
        <f>(L11-L13)/(L12-L14-L15)</f>
        <v>13.834380942332968</v>
      </c>
      <c r="E7">
        <f>(M11-M13)/(M12-M14-M15)</f>
        <v>11.61214799681472</v>
      </c>
      <c r="F7">
        <f>(N11-N13)/(N12-N14-N15)</f>
        <v>9.8576015403705668</v>
      </c>
      <c r="G7">
        <f>(O11-O13)/(O12-O14-O15)</f>
        <v>9.8645542240475166</v>
      </c>
      <c r="J7" t="s">
        <v>15</v>
      </c>
      <c r="K7" s="5">
        <v>176805714.59</v>
      </c>
      <c r="L7" s="5">
        <v>225086388.25</v>
      </c>
      <c r="M7" s="5">
        <v>284826600.33999997</v>
      </c>
      <c r="N7" s="5">
        <v>263681769</v>
      </c>
      <c r="O7" s="5">
        <v>385315120.20999998</v>
      </c>
    </row>
    <row r="8" spans="1:38" ht="30" x14ac:dyDescent="0.25">
      <c r="A8" s="7" t="s">
        <v>41</v>
      </c>
      <c r="B8" s="10" t="s">
        <v>38</v>
      </c>
      <c r="C8">
        <f>K16/K17</f>
        <v>9.3737992202152807</v>
      </c>
      <c r="D8">
        <f>L16/L17</f>
        <v>6.5526492766609508</v>
      </c>
      <c r="E8">
        <f>M16/M17</f>
        <v>6.7307283486269034</v>
      </c>
      <c r="F8">
        <f>N16/N17</f>
        <v>6.3195172893424072</v>
      </c>
      <c r="G8">
        <f>O16/O17</f>
        <v>5.4883177415684585</v>
      </c>
      <c r="J8" t="s">
        <v>17</v>
      </c>
      <c r="K8" s="5">
        <v>5593052699.0799999</v>
      </c>
      <c r="L8" s="5">
        <v>4633146619.9700003</v>
      </c>
      <c r="M8" s="5">
        <v>7007649319.8699999</v>
      </c>
      <c r="N8" s="5">
        <v>8701993468.3799992</v>
      </c>
      <c r="O8" s="5">
        <v>8234603347.4799995</v>
      </c>
    </row>
    <row r="9" spans="1:38" ht="30" x14ac:dyDescent="0.25">
      <c r="A9" s="7" t="s">
        <v>41</v>
      </c>
      <c r="B9" s="10" t="s">
        <v>39</v>
      </c>
      <c r="C9">
        <f>K18/K19</f>
        <v>8.616792944501519</v>
      </c>
      <c r="D9">
        <f>L18/L19</f>
        <v>5.2961020152642613</v>
      </c>
      <c r="E9">
        <f>M18/M19</f>
        <v>6.0950430127939939</v>
      </c>
      <c r="F9">
        <f>N18/N19</f>
        <v>5.6113148121572287</v>
      </c>
      <c r="G9">
        <f>O18/O19</f>
        <v>4.8628235604885104</v>
      </c>
      <c r="J9" t="s">
        <v>19</v>
      </c>
      <c r="K9" s="5">
        <v>91415878.310000002</v>
      </c>
      <c r="L9" s="5">
        <v>22010265.989999998</v>
      </c>
      <c r="M9" s="5">
        <v>395559626.45999998</v>
      </c>
      <c r="N9" s="5">
        <v>70180743.900000006</v>
      </c>
      <c r="O9" s="5">
        <v>4084479.56</v>
      </c>
    </row>
    <row r="10" spans="1:38" x14ac:dyDescent="0.25">
      <c r="A10" s="7" t="s">
        <v>42</v>
      </c>
      <c r="B10" s="10" t="s">
        <v>45</v>
      </c>
      <c r="C10" s="2">
        <f>K20/K21</f>
        <v>6.890521998717776E-2</v>
      </c>
      <c r="D10" s="2">
        <f>L20/L21</f>
        <v>6.3896143129843083E-2</v>
      </c>
      <c r="E10" s="2">
        <f>M20/M21</f>
        <v>6.2398617631132379E-2</v>
      </c>
      <c r="F10" s="2">
        <f>N20/N21</f>
        <v>6.2816626121589794E-2</v>
      </c>
      <c r="G10" s="2">
        <f>O20/O21</f>
        <v>5.8213382793399354E-2</v>
      </c>
      <c r="J10" s="3" t="s">
        <v>24</v>
      </c>
      <c r="K10" s="4">
        <v>110709728638.48</v>
      </c>
      <c r="L10" s="4">
        <v>99063870150.880005</v>
      </c>
      <c r="M10" s="4">
        <v>119359187908.57001</v>
      </c>
      <c r="N10" s="4">
        <v>129192983078.14999</v>
      </c>
      <c r="O10" s="4">
        <v>129993857280.42999</v>
      </c>
      <c r="P10" s="3"/>
      <c r="S10" s="3"/>
      <c r="V10" s="3"/>
    </row>
    <row r="11" spans="1:38" x14ac:dyDescent="0.25">
      <c r="A11" s="7" t="s">
        <v>42</v>
      </c>
      <c r="B11" s="10" t="s">
        <v>46</v>
      </c>
      <c r="C11" s="2">
        <f>K22/K23</f>
        <v>0.14378833788320669</v>
      </c>
      <c r="D11" s="2">
        <f>L22/L23</f>
        <v>0.1464773176284131</v>
      </c>
      <c r="E11" s="2">
        <f>M22/M23</f>
        <v>0.17858870146992198</v>
      </c>
      <c r="F11" s="2">
        <f>N22/N23</f>
        <v>0.15753040384124953</v>
      </c>
      <c r="G11" s="2">
        <f>O22/O23</f>
        <v>0.15596969848649136</v>
      </c>
      <c r="J11" t="s">
        <v>28</v>
      </c>
      <c r="K11" s="5">
        <v>133283984426.36</v>
      </c>
      <c r="L11" s="5">
        <v>141272706810</v>
      </c>
      <c r="M11" s="5">
        <v>151390803263.73001</v>
      </c>
      <c r="N11" s="5">
        <v>168522049636.82999</v>
      </c>
      <c r="O11" s="5">
        <v>173446854486.07999</v>
      </c>
    </row>
    <row r="12" spans="1:38" x14ac:dyDescent="0.25">
      <c r="A12" s="7" t="s">
        <v>42</v>
      </c>
      <c r="B12" s="10" t="s">
        <v>47</v>
      </c>
      <c r="C12" s="2">
        <f>K24/K25</f>
        <v>0.84951897495146034</v>
      </c>
      <c r="D12" s="2">
        <f>L24/L25</f>
        <v>0.73834933991579788</v>
      </c>
      <c r="E12" s="2">
        <f>M24/M25</f>
        <v>0.72297752363564372</v>
      </c>
      <c r="F12" s="2">
        <f>N24/N25</f>
        <v>0.75926054485794792</v>
      </c>
      <c r="G12" s="2">
        <f>O24/O25</f>
        <v>0.77291416359378617</v>
      </c>
      <c r="J12" t="s">
        <v>29</v>
      </c>
      <c r="K12" s="5">
        <v>120435848309.88</v>
      </c>
      <c r="L12" s="5">
        <v>122567653571.72</v>
      </c>
      <c r="M12" s="5">
        <v>131807809729.8</v>
      </c>
      <c r="N12" s="5">
        <v>145498393434.5</v>
      </c>
      <c r="O12" s="5">
        <v>146714678073.87</v>
      </c>
    </row>
    <row r="13" spans="1:38" x14ac:dyDescent="0.25">
      <c r="A13" s="7" t="s">
        <v>42</v>
      </c>
      <c r="B13" s="10" t="s">
        <v>48</v>
      </c>
      <c r="C13" s="1">
        <f>C10+C11+C12</f>
        <v>1.0622125328218448</v>
      </c>
      <c r="D13" s="1">
        <f>D10+D11+D12</f>
        <v>0.94872280067405401</v>
      </c>
      <c r="E13" s="1">
        <f>E10+E11+E12</f>
        <v>0.96396484273669802</v>
      </c>
      <c r="F13" s="1">
        <f>F10+F11+F12</f>
        <v>0.97960757482078731</v>
      </c>
      <c r="G13" s="1">
        <f>G10+G11+G12</f>
        <v>0.98709724487367689</v>
      </c>
      <c r="J13" t="s">
        <v>30</v>
      </c>
      <c r="K13" s="5">
        <f>K44+K45</f>
        <v>5456514452.5699997</v>
      </c>
      <c r="L13" s="5">
        <f>L44+L45</f>
        <v>6130473395.6400003</v>
      </c>
      <c r="M13" s="5">
        <f>M44+M45</f>
        <v>6835564319.2299995</v>
      </c>
      <c r="N13" s="5">
        <f>N44+N45</f>
        <v>7789811391.6999998</v>
      </c>
      <c r="O13" s="5">
        <f>O44+O45</f>
        <v>8503411098.6099997</v>
      </c>
    </row>
    <row r="14" spans="1:38" x14ac:dyDescent="0.25">
      <c r="A14" s="7" t="s">
        <v>42</v>
      </c>
      <c r="B14" s="10" t="s">
        <v>42</v>
      </c>
      <c r="C14" s="1">
        <f>1-C13</f>
        <v>-6.2212532821844801E-2</v>
      </c>
      <c r="D14" s="1">
        <f>1-D13</f>
        <v>5.1277199325945988E-2</v>
      </c>
      <c r="E14" s="1">
        <f>1-E13</f>
        <v>3.6035157263301976E-2</v>
      </c>
      <c r="F14" s="1">
        <f>1-F13</f>
        <v>2.0392425179212692E-2</v>
      </c>
      <c r="G14" s="1">
        <f>1-G13</f>
        <v>1.2902755126323107E-2</v>
      </c>
      <c r="J14" t="s">
        <v>31</v>
      </c>
      <c r="K14" s="5">
        <v>95836530095.740005</v>
      </c>
      <c r="L14" s="5">
        <v>99063870150.880005</v>
      </c>
      <c r="M14" s="5">
        <v>104712936711.75</v>
      </c>
      <c r="N14" s="5">
        <v>109682578271.89</v>
      </c>
      <c r="O14" s="5">
        <v>110968784237.8</v>
      </c>
    </row>
    <row r="15" spans="1:38" x14ac:dyDescent="0.25">
      <c r="A15" s="6" t="s">
        <v>43</v>
      </c>
      <c r="B15" s="10" t="s">
        <v>49</v>
      </c>
      <c r="C15" s="2">
        <f>K27/K26</f>
        <v>2.8393636328666042E-2</v>
      </c>
      <c r="D15" s="2">
        <f>L27/L26</f>
        <v>4.1639217749935009E-2</v>
      </c>
      <c r="E15" s="2">
        <f>M27/M26</f>
        <v>3.4791929472956694E-2</v>
      </c>
      <c r="F15" s="2">
        <f>N27/N26</f>
        <v>3.9306685808192819E-2</v>
      </c>
      <c r="G15" s="2">
        <f>O27/O26</f>
        <v>3.976978123013436E-2</v>
      </c>
      <c r="J15" t="s">
        <v>32</v>
      </c>
      <c r="K15" s="5">
        <v>14873198542.74</v>
      </c>
      <c r="L15" s="5">
        <v>13735205124.66</v>
      </c>
      <c r="M15" s="5">
        <v>14646251196.82</v>
      </c>
      <c r="N15" s="5">
        <v>19510404806.259998</v>
      </c>
      <c r="O15" s="5">
        <v>19025073042.630001</v>
      </c>
    </row>
    <row r="16" spans="1:38" x14ac:dyDescent="0.25">
      <c r="A16" s="6" t="s">
        <v>43</v>
      </c>
      <c r="B16" s="10" t="s">
        <v>50</v>
      </c>
      <c r="C16" s="2">
        <f>K28/K26</f>
        <v>0.97160636367133391</v>
      </c>
      <c r="D16" s="2">
        <f>L28/L26</f>
        <v>0.95836078225006494</v>
      </c>
      <c r="E16" s="2">
        <f>M28/M26</f>
        <v>0.96520807052704327</v>
      </c>
      <c r="F16" s="2">
        <f>N28/N26</f>
        <v>0.96069331419180715</v>
      </c>
      <c r="G16" s="2">
        <f>O28/O26</f>
        <v>0.96023021876986558</v>
      </c>
      <c r="J16" t="s">
        <v>29</v>
      </c>
      <c r="K16" s="5">
        <f>K12</f>
        <v>120435848309.88</v>
      </c>
      <c r="L16" s="5">
        <f>L12</f>
        <v>122567653571.72</v>
      </c>
      <c r="M16" s="5">
        <f>M12</f>
        <v>131807809729.8</v>
      </c>
      <c r="N16" s="5">
        <f>N12</f>
        <v>145498393434.5</v>
      </c>
      <c r="O16" s="5">
        <f>O12</f>
        <v>146714678073.87</v>
      </c>
    </row>
    <row r="17" spans="1:15" x14ac:dyDescent="0.25">
      <c r="A17" s="6" t="s">
        <v>43</v>
      </c>
      <c r="B17" s="10" t="s">
        <v>51</v>
      </c>
      <c r="C17" s="2">
        <f>K29/K27</f>
        <v>0.15361822176312134</v>
      </c>
      <c r="D17" s="2">
        <f>L29/L27</f>
        <v>0.15401517344064583</v>
      </c>
      <c r="E17" s="2">
        <f>M29/M27</f>
        <v>0.16434446117302634</v>
      </c>
      <c r="F17" s="2">
        <f>N29/N27</f>
        <v>0.15009042456403729</v>
      </c>
      <c r="G17" s="2">
        <f>O29/O27</f>
        <v>0.15063817096475729</v>
      </c>
      <c r="J17" t="s">
        <v>33</v>
      </c>
      <c r="K17" s="5">
        <v>12848136116.48</v>
      </c>
      <c r="L17" s="5">
        <v>18705053238.279999</v>
      </c>
      <c r="M17" s="5">
        <v>19582993533.93</v>
      </c>
      <c r="N17" s="5">
        <v>23023656202.330002</v>
      </c>
      <c r="O17" s="5">
        <v>26732176412.209999</v>
      </c>
    </row>
    <row r="18" spans="1:15" x14ac:dyDescent="0.25">
      <c r="A18" s="7" t="s">
        <v>44</v>
      </c>
      <c r="B18" s="10" t="s">
        <v>52</v>
      </c>
      <c r="C18" s="2">
        <f>K30/K31</f>
        <v>0.23960670592221403</v>
      </c>
      <c r="D18" s="2">
        <f>L30/L31</f>
        <v>0.52317681784314807</v>
      </c>
      <c r="E18" s="2">
        <f>M30/M31</f>
        <v>0.41762858463287861</v>
      </c>
      <c r="F18" s="2">
        <f>N30/N31</f>
        <v>0.42686637269650507</v>
      </c>
      <c r="G18" s="2">
        <f>O30/O31</f>
        <v>0.37329066544324169</v>
      </c>
      <c r="J18" t="s">
        <v>24</v>
      </c>
      <c r="K18" s="5">
        <f>K10</f>
        <v>110709728638.48</v>
      </c>
      <c r="L18" s="5">
        <f>L10</f>
        <v>99063870150.880005</v>
      </c>
      <c r="M18" s="5">
        <f>M10</f>
        <v>119359187908.57001</v>
      </c>
      <c r="N18" s="5">
        <f>N10</f>
        <v>129192983078.14999</v>
      </c>
      <c r="O18" s="5">
        <f>O10</f>
        <v>129993857280.42999</v>
      </c>
    </row>
    <row r="19" spans="1:15" x14ac:dyDescent="0.25">
      <c r="A19" s="7" t="s">
        <v>44</v>
      </c>
      <c r="B19" s="10" t="s">
        <v>53</v>
      </c>
      <c r="C19" s="2">
        <f>K30/K32</f>
        <v>0.4529502646993333</v>
      </c>
      <c r="D19" s="2">
        <f>L30/L32</f>
        <v>1.4398553381507238</v>
      </c>
      <c r="E19" s="2">
        <f>M30/M32</f>
        <v>1.2033188419802128</v>
      </c>
      <c r="F19" s="2">
        <f>N30/N32</f>
        <v>1.4460311732974744</v>
      </c>
      <c r="G19" s="2">
        <f>O30/O32</f>
        <v>1.4682258588779615</v>
      </c>
      <c r="J19" t="s">
        <v>33</v>
      </c>
      <c r="K19" s="5">
        <f>K17</f>
        <v>12848136116.48</v>
      </c>
      <c r="L19" s="5">
        <f>L17</f>
        <v>18705053238.279999</v>
      </c>
      <c r="M19" s="5">
        <f>M17</f>
        <v>19582993533.93</v>
      </c>
      <c r="N19" s="5">
        <f>N17</f>
        <v>23023656202.330002</v>
      </c>
      <c r="O19" s="5">
        <f>O17</f>
        <v>26732176412.209999</v>
      </c>
    </row>
    <row r="20" spans="1:15" x14ac:dyDescent="0.25">
      <c r="A20" s="7" t="s">
        <v>44</v>
      </c>
      <c r="B20" s="10" t="s">
        <v>54</v>
      </c>
      <c r="C20" s="2">
        <f>K30/K26</f>
        <v>4.9302362539593206E-2</v>
      </c>
      <c r="D20" s="2">
        <f>L30/L26</f>
        <v>0.14044254628100994</v>
      </c>
      <c r="E20" s="2">
        <f>M30/M26</f>
        <v>0.10333157243414598</v>
      </c>
      <c r="F20" s="2">
        <f>N30/N26</f>
        <v>0.11661018204428121</v>
      </c>
      <c r="G20" s="2">
        <f>O30/O26</f>
        <v>0.11056283914276155</v>
      </c>
      <c r="J20" t="s">
        <v>55</v>
      </c>
      <c r="K20" s="5">
        <v>4302525869.3500004</v>
      </c>
      <c r="L20" s="5">
        <v>4452289443.4799995</v>
      </c>
      <c r="M20" s="5">
        <v>4938683866.21</v>
      </c>
      <c r="N20" s="5">
        <v>5294249066.1899996</v>
      </c>
      <c r="O20" s="5">
        <v>5254060908.04</v>
      </c>
    </row>
    <row r="21" spans="1:15" x14ac:dyDescent="0.25">
      <c r="J21" t="s">
        <v>56</v>
      </c>
      <c r="K21" s="5">
        <v>62441218098.580002</v>
      </c>
      <c r="L21" s="5">
        <v>69680096878.970001</v>
      </c>
      <c r="M21" s="5">
        <v>79147328157.25</v>
      </c>
      <c r="N21" s="5">
        <v>84281015919.929993</v>
      </c>
      <c r="O21" s="5">
        <v>90255206894.380005</v>
      </c>
    </row>
    <row r="22" spans="1:15" x14ac:dyDescent="0.25">
      <c r="J22" t="s">
        <v>57</v>
      </c>
      <c r="K22" s="5">
        <v>8723391842.2399998</v>
      </c>
      <c r="L22" s="5">
        <v>9781560771.6399994</v>
      </c>
      <c r="M22" s="5">
        <v>13643040949.950001</v>
      </c>
      <c r="N22" s="5">
        <v>12754954584.5</v>
      </c>
      <c r="O22" s="5">
        <v>13517235117.35</v>
      </c>
    </row>
    <row r="23" spans="1:15" x14ac:dyDescent="0.25">
      <c r="E23" s="8"/>
      <c r="J23" t="s">
        <v>58</v>
      </c>
      <c r="K23" s="5">
        <v>60668284859.970001</v>
      </c>
      <c r="L23" s="5">
        <v>66778672152.190002</v>
      </c>
      <c r="M23" s="5">
        <v>76393639898.029999</v>
      </c>
      <c r="N23" s="5">
        <v>80968208507.570007</v>
      </c>
      <c r="O23" s="5">
        <v>86665777061.309998</v>
      </c>
    </row>
    <row r="24" spans="1:15" x14ac:dyDescent="0.25">
      <c r="J24" t="s">
        <v>59</v>
      </c>
      <c r="K24" s="5">
        <v>49202382646.720001</v>
      </c>
      <c r="L24" s="5">
        <v>45669918416.410004</v>
      </c>
      <c r="M24" s="5">
        <v>50692296162.019997</v>
      </c>
      <c r="N24" s="5">
        <v>58294248763.230003</v>
      </c>
      <c r="O24" s="5">
        <v>65734909059.07</v>
      </c>
    </row>
    <row r="25" spans="1:15" x14ac:dyDescent="0.25">
      <c r="J25" t="s">
        <v>60</v>
      </c>
      <c r="K25" s="5">
        <v>57917932497.660004</v>
      </c>
      <c r="L25" s="5">
        <v>61854079021.209999</v>
      </c>
      <c r="M25" s="5">
        <v>70116005691.440002</v>
      </c>
      <c r="N25" s="5">
        <v>76777661051.960007</v>
      </c>
      <c r="O25" s="5">
        <v>85048136203.669998</v>
      </c>
    </row>
    <row r="26" spans="1:15" x14ac:dyDescent="0.25">
      <c r="J26" t="s">
        <v>56</v>
      </c>
      <c r="K26" s="5">
        <f>K21</f>
        <v>62441218098.580002</v>
      </c>
      <c r="L26" s="5">
        <f>L21</f>
        <v>69680096878.970001</v>
      </c>
      <c r="M26" s="5">
        <f>M21</f>
        <v>79147328157.25</v>
      </c>
      <c r="N26" s="5">
        <f>N21</f>
        <v>84281015919.929993</v>
      </c>
      <c r="O26" s="5">
        <f>O21</f>
        <v>90255206894.380005</v>
      </c>
    </row>
    <row r="27" spans="1:15" x14ac:dyDescent="0.25">
      <c r="J27" t="s">
        <v>61</v>
      </c>
      <c r="K27" s="5">
        <f>K26-K28</f>
        <v>1772933238.6100006</v>
      </c>
      <c r="L27" s="5">
        <f>L26-L28</f>
        <v>2901424726.7799988</v>
      </c>
      <c r="M27" s="5">
        <f>M26-M28</f>
        <v>2753688259.2200012</v>
      </c>
      <c r="N27" s="5">
        <f>N26-N28</f>
        <v>3312807412.3599854</v>
      </c>
      <c r="O27" s="5">
        <f>O26-O28</f>
        <v>3589429833.0700073</v>
      </c>
    </row>
    <row r="28" spans="1:15" x14ac:dyDescent="0.25">
      <c r="J28" t="s">
        <v>58</v>
      </c>
      <c r="K28" s="5">
        <f>K23</f>
        <v>60668284859.970001</v>
      </c>
      <c r="L28" s="5">
        <f>L23</f>
        <v>66778672152.190002</v>
      </c>
      <c r="M28" s="5">
        <f>M23</f>
        <v>76393639898.029999</v>
      </c>
      <c r="N28" s="5">
        <f>N23</f>
        <v>80968208507.570007</v>
      </c>
      <c r="O28" s="5">
        <f>O23</f>
        <v>86665777061.309998</v>
      </c>
    </row>
    <row r="29" spans="1:15" x14ac:dyDescent="0.25">
      <c r="J29" t="s">
        <v>62</v>
      </c>
      <c r="K29" s="9">
        <v>272354851.42000002</v>
      </c>
      <c r="L29" s="9">
        <v>446863432.51999998</v>
      </c>
      <c r="M29" s="9">
        <v>452553413.19999999</v>
      </c>
      <c r="N29" s="9">
        <v>497220671.01999998</v>
      </c>
      <c r="O29" s="9">
        <v>540705144.86000001</v>
      </c>
    </row>
    <row r="30" spans="1:15" x14ac:dyDescent="0.25">
      <c r="J30" t="s">
        <v>63</v>
      </c>
      <c r="K30" s="5">
        <v>3078499572.1100001</v>
      </c>
      <c r="L30" s="5">
        <v>9786050230.7900009</v>
      </c>
      <c r="M30" s="5">
        <v>8178417872.4499998</v>
      </c>
      <c r="N30" s="5">
        <v>9828024609.2999992</v>
      </c>
      <c r="O30" s="5">
        <v>9978871921.6599998</v>
      </c>
    </row>
    <row r="31" spans="1:15" x14ac:dyDescent="0.25">
      <c r="J31" t="s">
        <v>64</v>
      </c>
      <c r="K31" s="5">
        <f>K17</f>
        <v>12848136116.48</v>
      </c>
      <c r="L31" s="5">
        <f>L17</f>
        <v>18705053238.279999</v>
      </c>
      <c r="M31" s="5">
        <f>M17</f>
        <v>19582993533.93</v>
      </c>
      <c r="N31" s="5">
        <f>N17</f>
        <v>23023656202.330002</v>
      </c>
      <c r="O31" s="5">
        <f>O17</f>
        <v>26732176412.209999</v>
      </c>
    </row>
    <row r="32" spans="1:15" x14ac:dyDescent="0.25">
      <c r="J32" t="s">
        <v>65</v>
      </c>
      <c r="K32" s="5">
        <v>6796550994.7399998</v>
      </c>
      <c r="L32" s="5">
        <v>6796550994.7399998</v>
      </c>
      <c r="M32" s="5">
        <v>6796550994.7399998</v>
      </c>
      <c r="N32" s="5">
        <v>6796550994.7399998</v>
      </c>
      <c r="O32" s="5">
        <v>6796550994.7399998</v>
      </c>
    </row>
    <row r="33" spans="10:22" x14ac:dyDescent="0.25">
      <c r="J33" s="3" t="s">
        <v>8</v>
      </c>
      <c r="K33" s="4">
        <f>K34+K35</f>
        <v>117570329799.22</v>
      </c>
      <c r="L33" s="4">
        <f>L34+L35</f>
        <v>123334484366.49001</v>
      </c>
      <c r="M33" s="4">
        <f>M34+M35</f>
        <v>126993160256.90001</v>
      </c>
      <c r="N33" s="4">
        <f>N34+N35</f>
        <v>141399193472.98001</v>
      </c>
      <c r="O33" s="4">
        <f>O34+O35</f>
        <v>144967073382.56</v>
      </c>
      <c r="P33" s="3"/>
      <c r="S33" s="3"/>
      <c r="V33" s="3"/>
    </row>
    <row r="34" spans="10:22" x14ac:dyDescent="0.25">
      <c r="J34" t="s">
        <v>5</v>
      </c>
      <c r="K34" s="5">
        <v>116510156035.39999</v>
      </c>
      <c r="L34" s="5">
        <v>122100173840.10001</v>
      </c>
      <c r="M34" s="5">
        <v>125801465707.71001</v>
      </c>
      <c r="N34" s="5">
        <v>139718968348.84</v>
      </c>
      <c r="O34" s="5">
        <v>143257218724.95999</v>
      </c>
    </row>
    <row r="35" spans="10:22" x14ac:dyDescent="0.25">
      <c r="J35" t="s">
        <v>9</v>
      </c>
      <c r="K35" s="5">
        <f>K3</f>
        <v>1060173763.8200001</v>
      </c>
      <c r="L35" s="5">
        <f>L3</f>
        <v>1234310526.3900001</v>
      </c>
      <c r="M35" s="5">
        <v>1191694549.1900001</v>
      </c>
      <c r="N35" s="5">
        <f>N3</f>
        <v>1680225124.1400001</v>
      </c>
      <c r="O35" s="5">
        <f>O3</f>
        <v>1709854657.5999999</v>
      </c>
    </row>
    <row r="36" spans="10:22" x14ac:dyDescent="0.25">
      <c r="J36" s="3" t="s">
        <v>12</v>
      </c>
      <c r="K36" s="4">
        <f>SUM(K37:K43)</f>
        <v>15182840827.869999</v>
      </c>
      <c r="L36" s="4">
        <f>SUM(L37:L43)</f>
        <v>15713229299.34</v>
      </c>
      <c r="M36" s="4">
        <f>SUM(M37:M43)</f>
        <v>18776703772.310001</v>
      </c>
      <c r="N36" s="4">
        <f>SUM(N37:N43)</f>
        <v>22123933595.780003</v>
      </c>
      <c r="O36" s="4">
        <f>SUM(O37:O43)</f>
        <v>24211170703.210003</v>
      </c>
      <c r="P36" s="3"/>
      <c r="S36" s="3"/>
      <c r="V36" s="3"/>
    </row>
    <row r="37" spans="10:22" x14ac:dyDescent="0.25">
      <c r="J37" t="s">
        <v>14</v>
      </c>
      <c r="K37" s="5">
        <v>7223588539.75</v>
      </c>
      <c r="L37" s="5">
        <v>6851811076.5200005</v>
      </c>
      <c r="M37" s="5">
        <v>6721447212.1700001</v>
      </c>
      <c r="N37" s="5">
        <v>7509164993.8299999</v>
      </c>
      <c r="O37" s="5">
        <v>8008929932.0600004</v>
      </c>
    </row>
    <row r="38" spans="10:22" x14ac:dyDescent="0.25">
      <c r="J38" t="s">
        <v>16</v>
      </c>
      <c r="K38" s="5">
        <v>831458413.49000001</v>
      </c>
      <c r="L38" s="5">
        <v>1051734523.72</v>
      </c>
      <c r="M38" s="5">
        <v>1096752006.7</v>
      </c>
      <c r="N38" s="5">
        <v>1081659643.3699999</v>
      </c>
      <c r="O38" s="5">
        <v>1223433403.3499999</v>
      </c>
    </row>
    <row r="39" spans="10:22" x14ac:dyDescent="0.25">
      <c r="J39" t="s">
        <v>18</v>
      </c>
      <c r="K39" s="5">
        <v>4761542493.9300003</v>
      </c>
      <c r="L39" s="5">
        <v>3581412096.25</v>
      </c>
      <c r="M39" s="5">
        <v>5910897313.1700001</v>
      </c>
      <c r="N39" s="5">
        <v>7620333825.0100002</v>
      </c>
      <c r="O39" s="5">
        <v>7011169944.1300001</v>
      </c>
    </row>
    <row r="40" spans="10:22" x14ac:dyDescent="0.25">
      <c r="J40" t="s">
        <v>20</v>
      </c>
      <c r="K40" s="5">
        <v>20116419.879999999</v>
      </c>
      <c r="L40" s="5">
        <v>22010266</v>
      </c>
      <c r="M40" s="5">
        <v>395559626.47000003</v>
      </c>
      <c r="N40" s="5">
        <v>70180743.900000006</v>
      </c>
      <c r="O40" s="5">
        <v>4084479.56</v>
      </c>
    </row>
    <row r="41" spans="10:22" x14ac:dyDescent="0.25">
      <c r="J41" t="s">
        <v>21</v>
      </c>
      <c r="K41" s="5">
        <v>133392733.56</v>
      </c>
      <c r="L41" s="5">
        <v>166071971.25999999</v>
      </c>
      <c r="M41" s="5">
        <v>171214267.09999999</v>
      </c>
      <c r="N41" s="5">
        <v>195510807.69999999</v>
      </c>
      <c r="O41" s="5">
        <v>108321251.59</v>
      </c>
    </row>
    <row r="42" spans="10:22" x14ac:dyDescent="0.25">
      <c r="J42" t="s">
        <v>22</v>
      </c>
      <c r="K42" s="5">
        <v>1294944637.5799999</v>
      </c>
      <c r="L42" s="5">
        <v>3003347447.79</v>
      </c>
      <c r="M42" s="5">
        <v>3298830799.9099998</v>
      </c>
      <c r="N42" s="5">
        <v>4098612121.48</v>
      </c>
      <c r="O42" s="5">
        <v>3602574936.98</v>
      </c>
    </row>
    <row r="43" spans="10:22" x14ac:dyDescent="0.25">
      <c r="J43" t="s">
        <v>23</v>
      </c>
      <c r="K43" s="5">
        <v>917797589.67999995</v>
      </c>
      <c r="L43" s="5">
        <v>1036841917.8</v>
      </c>
      <c r="M43" s="5">
        <v>1182002546.79</v>
      </c>
      <c r="N43" s="5">
        <v>1548471460.49</v>
      </c>
      <c r="O43" s="5">
        <v>4252656755.54</v>
      </c>
    </row>
    <row r="44" spans="10:22" x14ac:dyDescent="0.25">
      <c r="J44" t="s">
        <v>34</v>
      </c>
      <c r="K44" s="5">
        <v>4973128332.21</v>
      </c>
      <c r="L44" s="5">
        <v>6130473395.6400003</v>
      </c>
      <c r="M44" s="5">
        <v>6835564319.2299995</v>
      </c>
      <c r="N44" s="5">
        <v>7789811391.6999998</v>
      </c>
      <c r="O44" s="5">
        <f>8503411098.61</f>
        <v>8503411098.6099997</v>
      </c>
    </row>
    <row r="45" spans="10:22" x14ac:dyDescent="0.25">
      <c r="J45" t="s">
        <v>35</v>
      </c>
      <c r="K45" s="5">
        <v>483386120.36000001</v>
      </c>
      <c r="L45" s="5">
        <v>0</v>
      </c>
      <c r="M45" s="5">
        <v>0</v>
      </c>
      <c r="N45" s="5">
        <v>0</v>
      </c>
      <c r="O45" s="5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Razones Financieras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Ossian Ramirez</dc:creator>
  <cp:lastModifiedBy>Ossian Ramirez</cp:lastModifiedBy>
  <dcterms:created xsi:type="dcterms:W3CDTF">2015-06-05T18:17:20Z</dcterms:created>
  <dcterms:modified xsi:type="dcterms:W3CDTF">2026-05-28T04:19:50Z</dcterms:modified>
</cp:coreProperties>
</file>