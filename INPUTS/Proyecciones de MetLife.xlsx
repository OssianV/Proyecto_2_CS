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ssia\Documents\SEMESTRES_FACULTAD\New_5th_semester\Contabilidad_de_seguros\PROYECTO\INPUTS\"/>
    </mc:Choice>
  </mc:AlternateContent>
  <xr:revisionPtr revIDLastSave="0" documentId="13_ncr:1_{C6BF694F-9FAF-4A36-84EF-0C90805940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3" r:id="rId2"/>
    <sheet name="Hoja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3" l="1"/>
  <c r="H35" i="3"/>
  <c r="G35" i="3"/>
  <c r="H36" i="3"/>
  <c r="G44" i="3"/>
  <c r="F44" i="3"/>
  <c r="G46" i="3"/>
  <c r="G47" i="3" s="1"/>
  <c r="F47" i="3"/>
  <c r="F41" i="3"/>
  <c r="G36" i="3"/>
  <c r="F35" i="3" l="1"/>
  <c r="F43" i="3"/>
  <c r="F42" i="3"/>
  <c r="F40" i="3"/>
  <c r="B27" i="3"/>
  <c r="C24" i="3" l="1"/>
  <c r="E5" i="1"/>
  <c r="E4" i="1"/>
  <c r="E3" i="1"/>
  <c r="B15" i="3"/>
  <c r="B16" i="3" s="1"/>
  <c r="B14" i="3"/>
  <c r="B17" i="3" l="1"/>
  <c r="B18" i="3" s="1"/>
  <c r="B35" i="3"/>
  <c r="C35" i="3" s="1"/>
  <c r="B19" i="3" l="1"/>
  <c r="C30" i="3" s="1"/>
  <c r="C34" i="3" s="1"/>
  <c r="I40" i="3"/>
  <c r="G40" i="3"/>
  <c r="H40" i="3"/>
  <c r="B30" i="3"/>
  <c r="C33" i="3" l="1"/>
  <c r="C31" i="3"/>
  <c r="C32" i="3"/>
  <c r="J40" i="3"/>
  <c r="G41" i="3"/>
  <c r="G42" i="3"/>
  <c r="G43" i="3"/>
  <c r="H43" i="3"/>
  <c r="H41" i="3"/>
  <c r="H42" i="3"/>
  <c r="I43" i="3"/>
  <c r="I41" i="3"/>
  <c r="I42" i="3"/>
  <c r="B34" i="3"/>
  <c r="B31" i="3"/>
  <c r="B33" i="3"/>
  <c r="B32" i="3"/>
  <c r="J41" i="3" l="1"/>
  <c r="J43" i="3"/>
  <c r="C37" i="3"/>
  <c r="C38" i="3"/>
  <c r="C36" i="3"/>
  <c r="J42" i="3"/>
  <c r="I36" i="3"/>
  <c r="I35" i="3" s="1"/>
  <c r="K40" i="3"/>
  <c r="B39" i="3"/>
  <c r="B37" i="3"/>
  <c r="B38" i="3"/>
  <c r="B36" i="3"/>
  <c r="C40" i="3" l="1"/>
  <c r="C42" i="3" s="1"/>
  <c r="C43" i="3" s="1"/>
  <c r="C45" i="3" s="1"/>
  <c r="L40" i="3"/>
  <c r="K41" i="3"/>
  <c r="K42" i="3"/>
  <c r="K43" i="3"/>
  <c r="H44" i="3"/>
  <c r="H46" i="3" s="1"/>
  <c r="H47" i="3" s="1"/>
  <c r="J36" i="3"/>
  <c r="J35" i="3" s="1"/>
  <c r="B40" i="3"/>
  <c r="B42" i="3" s="1"/>
  <c r="B43" i="3" s="1"/>
  <c r="B45" i="3" s="1"/>
  <c r="M40" i="3" l="1"/>
  <c r="K36" i="3"/>
  <c r="K35" i="3" s="1"/>
  <c r="I44" i="3"/>
  <c r="I46" i="3" s="1"/>
  <c r="I47" i="3" s="1"/>
  <c r="L43" i="3"/>
  <c r="L41" i="3"/>
  <c r="L42" i="3"/>
  <c r="J44" i="3" l="1"/>
  <c r="J46" i="3" s="1"/>
  <c r="J47" i="3" s="1"/>
  <c r="L36" i="3"/>
  <c r="L35" i="3" s="1"/>
  <c r="N40" i="3"/>
  <c r="M43" i="3"/>
  <c r="M41" i="3"/>
  <c r="M42" i="3"/>
  <c r="M35" i="3" l="1"/>
  <c r="O40" i="3"/>
  <c r="N43" i="3"/>
  <c r="N41" i="3"/>
  <c r="N42" i="3"/>
  <c r="M36" i="3"/>
  <c r="K44" i="3"/>
  <c r="K46" i="3" s="1"/>
  <c r="K47" i="3" s="1"/>
  <c r="N35" i="3" l="1"/>
  <c r="O41" i="3"/>
  <c r="O42" i="3"/>
  <c r="O43" i="3"/>
  <c r="N36" i="3"/>
  <c r="L44" i="3"/>
  <c r="L46" i="3" s="1"/>
  <c r="L47" i="3" s="1"/>
  <c r="P40" i="3"/>
  <c r="O35" i="3" l="1"/>
  <c r="Q40" i="3"/>
  <c r="O36" i="3"/>
  <c r="M44" i="3"/>
  <c r="M46" i="3" s="1"/>
  <c r="M47" i="3" s="1"/>
  <c r="P43" i="3"/>
  <c r="P41" i="3"/>
  <c r="P42" i="3"/>
  <c r="R40" i="3"/>
  <c r="P36" i="3" l="1"/>
  <c r="P35" i="3" s="1"/>
  <c r="N44" i="3"/>
  <c r="N46" i="3" s="1"/>
  <c r="N47" i="3" s="1"/>
  <c r="Q43" i="3"/>
  <c r="Q41" i="3"/>
  <c r="Q42" i="3"/>
  <c r="R43" i="3"/>
  <c r="R41" i="3"/>
  <c r="R42" i="3"/>
  <c r="O44" i="3" l="1"/>
  <c r="O46" i="3" s="1"/>
  <c r="O47" i="3" s="1"/>
  <c r="Q36" i="3"/>
  <c r="Q35" i="3" s="1"/>
  <c r="P44" i="3" l="1"/>
  <c r="P46" i="3" s="1"/>
  <c r="P47" i="3" s="1"/>
  <c r="R36" i="3" l="1"/>
  <c r="R35" i="3" s="1"/>
  <c r="Q44" i="3"/>
  <c r="Q46" i="3" s="1"/>
  <c r="Q47" i="3" s="1"/>
  <c r="R44" i="3"/>
  <c r="R4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Diego:</t>
        </r>
        <r>
          <rPr>
            <sz val="9"/>
            <color indexed="81"/>
            <rFont val="Tahoma"/>
            <family val="2"/>
          </rPr>
          <t xml:space="preserve">
Hip 1: prima con recargo de prima fraccionaria
</t>
        </r>
      </text>
    </comment>
    <comment ref="A1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Diego:</t>
        </r>
        <r>
          <rPr>
            <sz val="9"/>
            <color indexed="81"/>
            <rFont val="Tahoma"/>
            <family val="2"/>
          </rPr>
          <t xml:space="preserve">
Hip 2: Prima sin recargo de prima fraccionada</t>
        </r>
      </text>
    </comment>
  </commentList>
</comments>
</file>

<file path=xl/sharedStrings.xml><?xml version="1.0" encoding="utf-8"?>
<sst xmlns="http://schemas.openxmlformats.org/spreadsheetml/2006/main" count="87" uniqueCount="81">
  <si>
    <t>Nota técnica</t>
  </si>
  <si>
    <t>Análisis de Congruencia</t>
  </si>
  <si>
    <t>Documentación Contractual</t>
  </si>
  <si>
    <t>Dictamen Jurídico</t>
  </si>
  <si>
    <t>Hipótesis financiera</t>
  </si>
  <si>
    <t>Hipótesis demográfica</t>
  </si>
  <si>
    <t>Cálculo de las Primas</t>
  </si>
  <si>
    <t>Cálculos de Reserva</t>
  </si>
  <si>
    <t>Sustento técnico</t>
  </si>
  <si>
    <t>Descripción de producto</t>
  </si>
  <si>
    <t>Año</t>
  </si>
  <si>
    <t>Prima de Riesgo</t>
  </si>
  <si>
    <t>Gasto de Administración</t>
  </si>
  <si>
    <t>Bonos</t>
  </si>
  <si>
    <t>Comisiones</t>
  </si>
  <si>
    <t>Otros Gastos de Adquisición</t>
  </si>
  <si>
    <t>Cobertura XL</t>
  </si>
  <si>
    <t>Utilidad</t>
  </si>
  <si>
    <t>IVA</t>
  </si>
  <si>
    <t>Inflación</t>
  </si>
  <si>
    <t>Derechos de Póliza</t>
  </si>
  <si>
    <t>Impuestos</t>
  </si>
  <si>
    <t>Recargo de Prima fraccionada</t>
  </si>
  <si>
    <t>Impuestos sobre la Utilidad</t>
  </si>
  <si>
    <t>qr</t>
  </si>
  <si>
    <t>Gastos de Administración</t>
  </si>
  <si>
    <t>Gastos de Adquisición</t>
  </si>
  <si>
    <t>Cobertura de reaseguro</t>
  </si>
  <si>
    <t>Utilidad del seguro</t>
  </si>
  <si>
    <t>Alfa:</t>
  </si>
  <si>
    <t>Prima de Técnica:</t>
  </si>
  <si>
    <t>Siniestralidad permisible:</t>
  </si>
  <si>
    <t>Prima Total (Hip. 1):</t>
  </si>
  <si>
    <t>Prima Total (Hip. 2):</t>
  </si>
  <si>
    <t>Análisis</t>
  </si>
  <si>
    <t>Suma Asegurada Promedio:</t>
  </si>
  <si>
    <t># de Pólizas estimadas:</t>
  </si>
  <si>
    <t>Incremento de Pólizas:</t>
  </si>
  <si>
    <t>BEL:</t>
  </si>
  <si>
    <t>Rendimiento de inversión:</t>
  </si>
  <si>
    <t>Escenario General</t>
  </si>
  <si>
    <t>Hipótesis 1</t>
  </si>
  <si>
    <t>Hipótesis 2</t>
  </si>
  <si>
    <t>Prima Total</t>
  </si>
  <si>
    <t>Prima Devengada:</t>
  </si>
  <si>
    <t>Bonos:</t>
  </si>
  <si>
    <t>O. G. Adq.</t>
  </si>
  <si>
    <t>Siniestros esperados</t>
  </si>
  <si>
    <t>Resultado Técnico</t>
  </si>
  <si>
    <t>Resultado Operativo</t>
  </si>
  <si>
    <t>Productos financieros</t>
  </si>
  <si>
    <t>Resultado Neto</t>
  </si>
  <si>
    <t># robos</t>
  </si>
  <si>
    <t># escuelas</t>
  </si>
  <si>
    <t>(Best Estimated Losses)</t>
  </si>
  <si>
    <t>Cetes 364 días</t>
  </si>
  <si>
    <t>anual nominal</t>
  </si>
  <si>
    <t>real anual</t>
  </si>
  <si>
    <t>Rentabilidad</t>
  </si>
  <si>
    <t>Suma Asegurada Total:</t>
  </si>
  <si>
    <t>Proyecciones</t>
  </si>
  <si>
    <t>Mensuales</t>
  </si>
  <si>
    <t>Ingresos</t>
  </si>
  <si>
    <t>Reserva (Efectivo)</t>
  </si>
  <si>
    <t>Rendimientos de la Rva.</t>
  </si>
  <si>
    <t>Recargos (Extraprima, Financiamiento</t>
  </si>
  <si>
    <t>Gastos</t>
  </si>
  <si>
    <t>Siniestros</t>
  </si>
  <si>
    <t>Gastos de administración</t>
  </si>
  <si>
    <t>Gasto de adquisición</t>
  </si>
  <si>
    <t>Impuestos (IVA)</t>
  </si>
  <si>
    <t>Impuestos sobre la utilidad</t>
  </si>
  <si>
    <t>Utilidad del periodo</t>
  </si>
  <si>
    <t>Rentabilidad del periodo</t>
  </si>
  <si>
    <t>oper</t>
  </si>
  <si>
    <t>adq</t>
  </si>
  <si>
    <t>porom</t>
  </si>
  <si>
    <t>% de reserva invertida</t>
  </si>
  <si>
    <t># de pagos a financiar</t>
  </si>
  <si>
    <t>Escenario de proyecciones</t>
  </si>
  <si>
    <t>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</si>
</sst>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5" fillId="0" borderId="0" xfId="0" applyFont="1"/>
    <xf numFmtId="0" fontId="2" fillId="0" borderId="1" xfId="0" applyFont="1" applyBorder="1"/>
    <xf numFmtId="9" fontId="0" fillId="2" borderId="1" xfId="0" applyNumberFormat="1" applyFill="1" applyBorder="1"/>
    <xf numFmtId="0" fontId="0" fillId="2" borderId="1" xfId="0" applyFill="1" applyBorder="1"/>
    <xf numFmtId="0" fontId="2" fillId="3" borderId="0" xfId="0" applyFont="1" applyFill="1" applyAlignment="1">
      <alignment horizontal="center"/>
    </xf>
    <xf numFmtId="4" fontId="0" fillId="2" borderId="1" xfId="0" applyNumberFormat="1" applyFill="1" applyBorder="1"/>
    <xf numFmtId="10" fontId="0" fillId="2" borderId="1" xfId="0" applyNumberFormat="1" applyFill="1" applyBorder="1"/>
    <xf numFmtId="10" fontId="0" fillId="2" borderId="1" xfId="1" applyNumberFormat="1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4" fontId="0" fillId="0" borderId="0" xfId="1" applyNumberFormat="1" applyFont="1"/>
    <xf numFmtId="4" fontId="0" fillId="0" borderId="0" xfId="0" applyNumberFormat="1"/>
    <xf numFmtId="4" fontId="2" fillId="0" borderId="0" xfId="0" applyNumberFormat="1" applyFont="1"/>
    <xf numFmtId="0" fontId="7" fillId="0" borderId="0" xfId="0" applyFont="1"/>
    <xf numFmtId="10" fontId="2" fillId="0" borderId="0" xfId="1" applyNumberFormat="1" applyFont="1"/>
    <xf numFmtId="4" fontId="8" fillId="0" borderId="0" xfId="0" applyNumberFormat="1" applyFont="1"/>
    <xf numFmtId="0" fontId="8" fillId="0" borderId="0" xfId="0" applyFont="1"/>
    <xf numFmtId="9" fontId="0" fillId="0" borderId="0" xfId="1" applyFont="1"/>
    <xf numFmtId="164" fontId="0" fillId="2" borderId="1" xfId="0" applyNumberFormat="1" applyFill="1" applyBorder="1"/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"/>
  <sheetViews>
    <sheetView topLeftCell="A7" workbookViewId="0">
      <selection activeCell="C14" sqref="C14"/>
    </sheetView>
  </sheetViews>
  <sheetFormatPr defaultColWidth="11.42578125" defaultRowHeight="15" x14ac:dyDescent="0.25"/>
  <sheetData>
    <row r="2" spans="2:5" x14ac:dyDescent="0.25">
      <c r="B2" t="s">
        <v>10</v>
      </c>
      <c r="C2" t="s">
        <v>52</v>
      </c>
      <c r="D2" t="s">
        <v>53</v>
      </c>
    </row>
    <row r="3" spans="2:5" x14ac:dyDescent="0.25">
      <c r="B3">
        <v>2023</v>
      </c>
      <c r="C3">
        <v>1406</v>
      </c>
      <c r="D3">
        <v>4853</v>
      </c>
      <c r="E3" s="5">
        <f>C3/D3</f>
        <v>0.2897177003915104</v>
      </c>
    </row>
    <row r="4" spans="2:5" x14ac:dyDescent="0.25">
      <c r="B4">
        <v>2024</v>
      </c>
      <c r="C4">
        <v>1191</v>
      </c>
      <c r="D4">
        <v>4845</v>
      </c>
      <c r="E4" s="5">
        <f>C4/D4</f>
        <v>0.24582043343653251</v>
      </c>
    </row>
    <row r="5" spans="2:5" x14ac:dyDescent="0.25">
      <c r="B5">
        <v>2025</v>
      </c>
      <c r="C5">
        <v>1054</v>
      </c>
      <c r="D5">
        <v>4876</v>
      </c>
      <c r="E5" s="5">
        <f>C5/D5</f>
        <v>0.21616078753076293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tabSelected="1" zoomScaleNormal="100" workbookViewId="0">
      <selection activeCell="P47" sqref="P47"/>
    </sheetView>
  </sheetViews>
  <sheetFormatPr defaultColWidth="11.42578125" defaultRowHeight="15" x14ac:dyDescent="0.25"/>
  <cols>
    <col min="1" max="1" width="28.5703125" customWidth="1"/>
    <col min="2" max="3" width="25.7109375" customWidth="1"/>
    <col min="4" max="4" width="11.42578125" customWidth="1"/>
    <col min="5" max="5" width="34.28515625" customWidth="1"/>
    <col min="6" max="18" width="17.140625" customWidth="1"/>
  </cols>
  <sheetData>
    <row r="1" spans="1:5" x14ac:dyDescent="0.25">
      <c r="A1" s="7" t="s">
        <v>11</v>
      </c>
      <c r="B1" s="8">
        <v>0.27</v>
      </c>
      <c r="C1" s="1" t="s">
        <v>24</v>
      </c>
    </row>
    <row r="2" spans="1:5" x14ac:dyDescent="0.25">
      <c r="A2" s="7" t="s">
        <v>12</v>
      </c>
      <c r="B2" s="24">
        <v>6.3245999999999997E-2</v>
      </c>
      <c r="C2" s="1" t="s">
        <v>25</v>
      </c>
      <c r="E2" t="s">
        <v>74</v>
      </c>
    </row>
    <row r="3" spans="1:5" x14ac:dyDescent="0.25">
      <c r="A3" s="7" t="s">
        <v>13</v>
      </c>
      <c r="B3" s="8">
        <v>0.02</v>
      </c>
      <c r="C3" s="25" t="s">
        <v>26</v>
      </c>
    </row>
    <row r="4" spans="1:5" x14ac:dyDescent="0.25">
      <c r="A4" s="7" t="s">
        <v>14</v>
      </c>
      <c r="B4" s="24">
        <v>7.5356000000000006E-2</v>
      </c>
      <c r="C4" s="25"/>
      <c r="E4" t="s">
        <v>76</v>
      </c>
    </row>
    <row r="5" spans="1:5" x14ac:dyDescent="0.25">
      <c r="A5" s="7" t="s">
        <v>15</v>
      </c>
      <c r="B5" s="24">
        <v>7.5356000000000006E-2</v>
      </c>
      <c r="C5" s="25"/>
      <c r="E5" t="s">
        <v>75</v>
      </c>
    </row>
    <row r="6" spans="1:5" x14ac:dyDescent="0.25">
      <c r="A6" s="7" t="s">
        <v>16</v>
      </c>
      <c r="B6" s="8">
        <v>0.01</v>
      </c>
      <c r="C6" s="1" t="s">
        <v>27</v>
      </c>
    </row>
    <row r="7" spans="1:5" x14ac:dyDescent="0.25">
      <c r="A7" s="7" t="s">
        <v>17</v>
      </c>
      <c r="B7" s="8">
        <v>0.05</v>
      </c>
      <c r="C7" s="1" t="s">
        <v>28</v>
      </c>
    </row>
    <row r="8" spans="1:5" x14ac:dyDescent="0.25">
      <c r="A8" s="7" t="s">
        <v>22</v>
      </c>
      <c r="B8" s="8">
        <v>0.06</v>
      </c>
    </row>
    <row r="9" spans="1:5" x14ac:dyDescent="0.25">
      <c r="A9" s="7" t="s">
        <v>18</v>
      </c>
      <c r="B9" s="8">
        <v>0.16</v>
      </c>
    </row>
    <row r="10" spans="1:5" x14ac:dyDescent="0.25">
      <c r="A10" s="7" t="s">
        <v>19</v>
      </c>
      <c r="B10" s="8">
        <v>0.04</v>
      </c>
    </row>
    <row r="11" spans="1:5" x14ac:dyDescent="0.25">
      <c r="A11" s="7" t="s">
        <v>20</v>
      </c>
      <c r="B11" s="8">
        <v>0.02</v>
      </c>
    </row>
    <row r="12" spans="1:5" x14ac:dyDescent="0.25">
      <c r="A12" s="7" t="s">
        <v>23</v>
      </c>
      <c r="B12" s="8">
        <v>0.35</v>
      </c>
    </row>
    <row r="13" spans="1:5" x14ac:dyDescent="0.25">
      <c r="A13" s="2"/>
      <c r="B13" s="3"/>
    </row>
    <row r="14" spans="1:5" x14ac:dyDescent="0.25">
      <c r="A14" s="2" t="s">
        <v>11</v>
      </c>
      <c r="B14" s="4">
        <f>B1</f>
        <v>0.27</v>
      </c>
    </row>
    <row r="15" spans="1:5" x14ac:dyDescent="0.25">
      <c r="A15" s="2" t="s">
        <v>29</v>
      </c>
      <c r="B15" s="4">
        <f>B2+SUM(B3:B5)+B7</f>
        <v>0.28395800000000004</v>
      </c>
    </row>
    <row r="16" spans="1:5" x14ac:dyDescent="0.25">
      <c r="A16" s="2" t="s">
        <v>31</v>
      </c>
      <c r="B16" s="5">
        <f>1-B15</f>
        <v>0.71604199999999996</v>
      </c>
    </row>
    <row r="17" spans="1:9" x14ac:dyDescent="0.25">
      <c r="A17" s="2" t="s">
        <v>30</v>
      </c>
      <c r="B17" s="4">
        <f>B14/B16</f>
        <v>0.37707285326838375</v>
      </c>
    </row>
    <row r="18" spans="1:9" x14ac:dyDescent="0.25">
      <c r="A18" s="2" t="s">
        <v>32</v>
      </c>
      <c r="B18" s="5">
        <f>(B17*(1+B11))*(1+B8)*(1+B9)</f>
        <v>0.47292175598638075</v>
      </c>
    </row>
    <row r="19" spans="1:9" x14ac:dyDescent="0.25">
      <c r="A19" s="2" t="s">
        <v>33</v>
      </c>
      <c r="B19" s="5">
        <f>(B17*(1+B11))*(1+B9)</f>
        <v>0.44615259998715162</v>
      </c>
    </row>
    <row r="21" spans="1:9" ht="18.75" x14ac:dyDescent="0.3">
      <c r="A21" s="6" t="s">
        <v>34</v>
      </c>
    </row>
    <row r="23" spans="1:9" x14ac:dyDescent="0.25">
      <c r="A23" s="7" t="s">
        <v>35</v>
      </c>
      <c r="B23" s="11">
        <v>400000</v>
      </c>
      <c r="C23" s="1" t="s">
        <v>59</v>
      </c>
      <c r="H23" s="26" t="s">
        <v>79</v>
      </c>
      <c r="I23" s="26"/>
    </row>
    <row r="24" spans="1:9" x14ac:dyDescent="0.25">
      <c r="A24" s="7" t="s">
        <v>36</v>
      </c>
      <c r="B24" s="9">
        <v>200</v>
      </c>
      <c r="C24" s="17">
        <f>B23*B24</f>
        <v>80000000</v>
      </c>
      <c r="H24" t="s">
        <v>77</v>
      </c>
      <c r="I24" s="3">
        <v>0.5</v>
      </c>
    </row>
    <row r="25" spans="1:9" x14ac:dyDescent="0.25">
      <c r="A25" s="7" t="s">
        <v>37</v>
      </c>
      <c r="B25" s="8">
        <v>0.05</v>
      </c>
      <c r="H25" t="s">
        <v>78</v>
      </c>
      <c r="I25">
        <v>4</v>
      </c>
    </row>
    <row r="26" spans="1:9" x14ac:dyDescent="0.25">
      <c r="A26" s="7" t="s">
        <v>38</v>
      </c>
      <c r="B26" s="12">
        <v>0.61470000000000002</v>
      </c>
      <c r="C26" s="1" t="s">
        <v>54</v>
      </c>
    </row>
    <row r="27" spans="1:9" x14ac:dyDescent="0.25">
      <c r="A27" s="7" t="s">
        <v>39</v>
      </c>
      <c r="B27" s="13">
        <f>((1+E27)/(1+B10))-1</f>
        <v>3.067307692307697E-2</v>
      </c>
      <c r="C27" s="1" t="s">
        <v>57</v>
      </c>
      <c r="D27" s="14" t="s">
        <v>55</v>
      </c>
      <c r="E27" s="4">
        <v>7.1900000000000006E-2</v>
      </c>
      <c r="F27" s="15" t="s">
        <v>56</v>
      </c>
    </row>
    <row r="29" spans="1:9" x14ac:dyDescent="0.25">
      <c r="A29" s="10" t="s">
        <v>40</v>
      </c>
      <c r="B29" s="1" t="s">
        <v>41</v>
      </c>
      <c r="C29" s="1" t="s">
        <v>42</v>
      </c>
      <c r="E29" s="10" t="s">
        <v>60</v>
      </c>
      <c r="F29" t="s">
        <v>61</v>
      </c>
    </row>
    <row r="30" spans="1:9" x14ac:dyDescent="0.25">
      <c r="A30" t="s">
        <v>43</v>
      </c>
      <c r="B30" s="16">
        <f>B18*B23*B24</f>
        <v>37833740.478910461</v>
      </c>
      <c r="C30" s="17">
        <f>B19*B23*B24</f>
        <v>35692207.998972133</v>
      </c>
    </row>
    <row r="31" spans="1:9" x14ac:dyDescent="0.25">
      <c r="A31" t="s">
        <v>44</v>
      </c>
      <c r="B31" s="17">
        <f>B30*(1-B6)</f>
        <v>37455403.074121356</v>
      </c>
      <c r="C31" s="17">
        <f>C30*(1-B6)</f>
        <v>35335285.918982409</v>
      </c>
    </row>
    <row r="32" spans="1:9" x14ac:dyDescent="0.25">
      <c r="A32" t="s">
        <v>45</v>
      </c>
      <c r="B32" s="17">
        <f>B30*B3</f>
        <v>756674.80957820918</v>
      </c>
      <c r="C32" s="17">
        <f>C30*B3</f>
        <v>713844.15997944272</v>
      </c>
    </row>
    <row r="33" spans="1:18" x14ac:dyDescent="0.25">
      <c r="A33" t="s">
        <v>14</v>
      </c>
      <c r="B33" s="17">
        <f>B30*B4</f>
        <v>2850999.3475287771</v>
      </c>
      <c r="C33" s="17">
        <f>C30*B4</f>
        <v>2689622.0259705442</v>
      </c>
      <c r="E33" s="2" t="s">
        <v>62</v>
      </c>
    </row>
    <row r="34" spans="1:18" x14ac:dyDescent="0.25">
      <c r="A34" t="s">
        <v>46</v>
      </c>
      <c r="B34" s="17">
        <f>B30*B5</f>
        <v>2850999.3475287771</v>
      </c>
      <c r="C34" s="17">
        <f>C30*B5</f>
        <v>2689622.0259705442</v>
      </c>
      <c r="E34" s="21" t="s">
        <v>80</v>
      </c>
      <c r="F34" s="21">
        <v>90983913867.289993</v>
      </c>
      <c r="G34" s="21">
        <v>728706972.90999997</v>
      </c>
      <c r="H34" s="21">
        <v>728706972.90999997</v>
      </c>
      <c r="I34" s="21">
        <v>728706972.90999997</v>
      </c>
      <c r="J34" s="21">
        <v>728706972.90999997</v>
      </c>
      <c r="K34" s="21">
        <v>728706972.90999997</v>
      </c>
      <c r="L34" s="21">
        <v>728706972.90999997</v>
      </c>
      <c r="M34" s="21">
        <v>728706972.90999997</v>
      </c>
      <c r="N34" s="21">
        <v>728706972.90999997</v>
      </c>
      <c r="O34" s="21">
        <v>728706972.90999997</v>
      </c>
      <c r="P34" s="21">
        <v>728706972.90999997</v>
      </c>
      <c r="Q34" s="21">
        <v>728706972.90999997</v>
      </c>
      <c r="R34" s="21">
        <v>728706972.90999997</v>
      </c>
    </row>
    <row r="35" spans="1:18" x14ac:dyDescent="0.25">
      <c r="A35" t="s">
        <v>47</v>
      </c>
      <c r="B35" s="17">
        <f>B14*B23*B24</f>
        <v>21600000</v>
      </c>
      <c r="C35" s="17">
        <f>B35</f>
        <v>21600000</v>
      </c>
      <c r="E35" t="s">
        <v>63</v>
      </c>
      <c r="F35" s="21">
        <f>F34+F37</f>
        <v>90983913867.289993</v>
      </c>
      <c r="G35" s="21">
        <f>F35+G36-F39-F41-F42-F43+G34-F40</f>
        <v>48255022033.938286</v>
      </c>
      <c r="H35" s="21">
        <f t="shared" ref="H35:R35" si="0">G35+H36-G39-G41-G42-G43+H34-G40</f>
        <v>42833385695.085228</v>
      </c>
      <c r="I35" s="21">
        <f t="shared" si="0"/>
        <v>37404820261.712563</v>
      </c>
      <c r="J35" s="21">
        <f t="shared" si="0"/>
        <v>31969316878.126575</v>
      </c>
      <c r="K35" s="21">
        <f t="shared" si="0"/>
        <v>26526866677.315575</v>
      </c>
      <c r="L35" s="21">
        <f t="shared" si="0"/>
        <v>21077460780.935429</v>
      </c>
      <c r="M35" s="21">
        <f t="shared" si="0"/>
        <v>15621090299.295084</v>
      </c>
      <c r="N35" s="21">
        <f t="shared" si="0"/>
        <v>10157746331.342062</v>
      </c>
      <c r="O35" s="21">
        <f t="shared" si="0"/>
        <v>4687419964.6479492</v>
      </c>
      <c r="P35" s="21">
        <f t="shared" si="0"/>
        <v>-789897724.60616076</v>
      </c>
      <c r="Q35" s="21">
        <f t="shared" si="0"/>
        <v>-6274215671.6442137</v>
      </c>
      <c r="R35" s="21">
        <f t="shared" si="0"/>
        <v>-11765542823.109774</v>
      </c>
    </row>
    <row r="36" spans="1:18" x14ac:dyDescent="0.25">
      <c r="A36" s="2" t="s">
        <v>48</v>
      </c>
      <c r="B36" s="18">
        <f>B31-SUM(B32:B35)</f>
        <v>9396729.5694855936</v>
      </c>
      <c r="C36" s="18">
        <f>C31-SUM(C32:C35)</f>
        <v>7642197.7070618793</v>
      </c>
      <c r="E36" t="s">
        <v>64</v>
      </c>
      <c r="F36" s="22">
        <v>0</v>
      </c>
      <c r="G36" s="21">
        <f>F35*$B$27/12*$I$24</f>
        <v>116281524.53391647</v>
      </c>
      <c r="H36" s="21">
        <f>G35*$B$27/12*$I$24</f>
        <v>61672083.448823459</v>
      </c>
      <c r="I36" s="21">
        <f t="shared" ref="H36:R36" si="1">H35*$B$27/12*$I$24</f>
        <v>54742988.92921558</v>
      </c>
      <c r="J36" s="21">
        <f t="shared" si="1"/>
        <v>47805038.715890728</v>
      </c>
      <c r="K36" s="21">
        <f t="shared" si="1"/>
        <v>40858221.490874968</v>
      </c>
      <c r="L36" s="21">
        <f t="shared" si="1"/>
        <v>33902525.92172949</v>
      </c>
      <c r="M36" s="21">
        <f t="shared" si="1"/>
        <v>26937940.6615321</v>
      </c>
      <c r="N36" s="21">
        <f t="shared" si="1"/>
        <v>19964454.348858733</v>
      </c>
      <c r="O36" s="21">
        <f t="shared" si="1"/>
        <v>12982055.607764915</v>
      </c>
      <c r="P36" s="21">
        <f t="shared" si="1"/>
        <v>5990733.0477672191</v>
      </c>
      <c r="Q36" s="21">
        <f t="shared" si="1"/>
        <v>-1009524.7361753433</v>
      </c>
      <c r="R36" s="21">
        <f t="shared" si="1"/>
        <v>-8018729.1636799164</v>
      </c>
    </row>
    <row r="37" spans="1:18" x14ac:dyDescent="0.25">
      <c r="A37" t="s">
        <v>25</v>
      </c>
      <c r="B37" s="17">
        <f>B31*B2</f>
        <v>2368904.422825879</v>
      </c>
      <c r="C37" s="17">
        <f>C31*B2</f>
        <v>2234815.4932319615</v>
      </c>
      <c r="E37" t="s">
        <v>65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x14ac:dyDescent="0.25">
      <c r="A38" t="s">
        <v>20</v>
      </c>
      <c r="B38" s="17">
        <f>B31*B11</f>
        <v>749108.06148242718</v>
      </c>
      <c r="C38" s="17">
        <f>C31*B11</f>
        <v>706705.71837964817</v>
      </c>
      <c r="E38" s="2" t="s">
        <v>66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x14ac:dyDescent="0.25">
      <c r="A39" t="s">
        <v>22</v>
      </c>
      <c r="B39" s="17">
        <f>B31*B8</f>
        <v>2247324.1844472811</v>
      </c>
      <c r="C39" s="17">
        <v>0</v>
      </c>
      <c r="E39" t="s">
        <v>67</v>
      </c>
      <c r="F39" s="21">
        <v>5910361314.1199999</v>
      </c>
      <c r="G39" s="21">
        <v>5910361314.1199999</v>
      </c>
      <c r="H39" s="21">
        <v>5910361314.1199999</v>
      </c>
      <c r="I39" s="21">
        <v>5910361314.1199999</v>
      </c>
      <c r="J39" s="21">
        <v>5910361314.1199999</v>
      </c>
      <c r="K39" s="21">
        <v>5910361314.1199999</v>
      </c>
      <c r="L39" s="21">
        <v>5910361314.1199999</v>
      </c>
      <c r="M39" s="21">
        <v>5910361314.1199999</v>
      </c>
      <c r="N39" s="21">
        <v>5910361314.1199999</v>
      </c>
      <c r="O39" s="21">
        <v>5910361314.1199999</v>
      </c>
      <c r="P39" s="21">
        <v>5910361314.1199999</v>
      </c>
      <c r="Q39" s="21">
        <v>5910361314.1199999</v>
      </c>
      <c r="R39" s="21">
        <v>5910361314.1199999</v>
      </c>
    </row>
    <row r="40" spans="1:18" x14ac:dyDescent="0.25">
      <c r="A40" s="2" t="s">
        <v>49</v>
      </c>
      <c r="B40" s="18">
        <f>B36-B37+B38+B39</f>
        <v>10024257.392589424</v>
      </c>
      <c r="C40" s="18">
        <f>C36-C37+C38+C39</f>
        <v>6114087.9322095662</v>
      </c>
      <c r="E40" t="s">
        <v>20</v>
      </c>
      <c r="F40" s="21">
        <f>F34*$B$11</f>
        <v>1819678277.3457999</v>
      </c>
      <c r="G40" s="21">
        <f t="shared" ref="G40:R40" si="2">G34*$B$11</f>
        <v>14574139.4582</v>
      </c>
      <c r="H40" s="21">
        <f t="shared" si="2"/>
        <v>14574139.4582</v>
      </c>
      <c r="I40" s="21">
        <f t="shared" si="2"/>
        <v>14574139.4582</v>
      </c>
      <c r="J40" s="21">
        <f t="shared" si="2"/>
        <v>14574139.4582</v>
      </c>
      <c r="K40" s="21">
        <f t="shared" si="2"/>
        <v>14574139.4582</v>
      </c>
      <c r="L40" s="21">
        <f t="shared" si="2"/>
        <v>14574139.4582</v>
      </c>
      <c r="M40" s="21">
        <f t="shared" si="2"/>
        <v>14574139.4582</v>
      </c>
      <c r="N40" s="21">
        <f t="shared" si="2"/>
        <v>14574139.4582</v>
      </c>
      <c r="O40" s="21">
        <f t="shared" si="2"/>
        <v>14574139.4582</v>
      </c>
      <c r="P40" s="21">
        <f t="shared" si="2"/>
        <v>14574139.4582</v>
      </c>
      <c r="Q40" s="21">
        <f t="shared" si="2"/>
        <v>14574139.4582</v>
      </c>
      <c r="R40" s="21">
        <f t="shared" si="2"/>
        <v>14574139.4582</v>
      </c>
    </row>
    <row r="41" spans="1:18" x14ac:dyDescent="0.25">
      <c r="A41" t="s">
        <v>50</v>
      </c>
      <c r="B41" s="17">
        <v>0</v>
      </c>
      <c r="C41" s="17">
        <v>0</v>
      </c>
      <c r="E41" t="s">
        <v>68</v>
      </c>
      <c r="F41" s="21">
        <f>$B$2*F34</f>
        <v>5754368616.4506226</v>
      </c>
      <c r="G41" s="21">
        <f t="shared" ref="F41:R41" si="3">$B$2*G34</f>
        <v>46087801.208665855</v>
      </c>
      <c r="H41" s="21">
        <f t="shared" si="3"/>
        <v>46087801.208665855</v>
      </c>
      <c r="I41" s="21">
        <f t="shared" si="3"/>
        <v>46087801.208665855</v>
      </c>
      <c r="J41" s="21">
        <f t="shared" si="3"/>
        <v>46087801.208665855</v>
      </c>
      <c r="K41" s="21">
        <f t="shared" si="3"/>
        <v>46087801.208665855</v>
      </c>
      <c r="L41" s="21">
        <f t="shared" si="3"/>
        <v>46087801.208665855</v>
      </c>
      <c r="M41" s="21">
        <f t="shared" si="3"/>
        <v>46087801.208665855</v>
      </c>
      <c r="N41" s="21">
        <f t="shared" si="3"/>
        <v>46087801.208665855</v>
      </c>
      <c r="O41" s="21">
        <f t="shared" si="3"/>
        <v>46087801.208665855</v>
      </c>
      <c r="P41" s="21">
        <f t="shared" si="3"/>
        <v>46087801.208665855</v>
      </c>
      <c r="Q41" s="21">
        <f t="shared" si="3"/>
        <v>46087801.208665855</v>
      </c>
      <c r="R41" s="21">
        <f t="shared" si="3"/>
        <v>46087801.208665855</v>
      </c>
    </row>
    <row r="42" spans="1:18" x14ac:dyDescent="0.25">
      <c r="A42" t="s">
        <v>21</v>
      </c>
      <c r="B42" s="17">
        <f>(B40+B41)*B12</f>
        <v>3508490.0874062981</v>
      </c>
      <c r="C42" s="17">
        <f>(C40+C41)*B12</f>
        <v>2139930.7762733479</v>
      </c>
      <c r="E42" t="s">
        <v>69</v>
      </c>
      <c r="F42" s="21">
        <f>(SUM($B$3:$B$5))*F34</f>
        <v>15532045904.112812</v>
      </c>
      <c r="G42" s="21">
        <f t="shared" ref="F42:R42" si="4">(SUM($B$3:$B$5))*G34</f>
        <v>124399024.75941193</v>
      </c>
      <c r="H42" s="21">
        <f t="shared" si="4"/>
        <v>124399024.75941193</v>
      </c>
      <c r="I42" s="21">
        <f t="shared" si="4"/>
        <v>124399024.75941193</v>
      </c>
      <c r="J42" s="21">
        <f t="shared" si="4"/>
        <v>124399024.75941193</v>
      </c>
      <c r="K42" s="21">
        <f t="shared" si="4"/>
        <v>124399024.75941193</v>
      </c>
      <c r="L42" s="21">
        <f t="shared" si="4"/>
        <v>124399024.75941193</v>
      </c>
      <c r="M42" s="21">
        <f t="shared" si="4"/>
        <v>124399024.75941193</v>
      </c>
      <c r="N42" s="21">
        <f t="shared" si="4"/>
        <v>124399024.75941193</v>
      </c>
      <c r="O42" s="21">
        <f t="shared" si="4"/>
        <v>124399024.75941193</v>
      </c>
      <c r="P42" s="21">
        <f t="shared" si="4"/>
        <v>124399024.75941193</v>
      </c>
      <c r="Q42" s="21">
        <f t="shared" si="4"/>
        <v>124399024.75941193</v>
      </c>
      <c r="R42" s="21">
        <f t="shared" si="4"/>
        <v>124399024.75941193</v>
      </c>
    </row>
    <row r="43" spans="1:18" x14ac:dyDescent="0.25">
      <c r="A43" s="2" t="s">
        <v>51</v>
      </c>
      <c r="B43" s="18">
        <f>B40+B41-B42</f>
        <v>6515767.3051831257</v>
      </c>
      <c r="C43" s="18">
        <f>C40+C41-C42</f>
        <v>3974157.1559362183</v>
      </c>
      <c r="E43" t="s">
        <v>70</v>
      </c>
      <c r="F43" s="21">
        <f>F34*$B$9</f>
        <v>14557426218.766399</v>
      </c>
      <c r="G43" s="21">
        <f t="shared" ref="F43:R43" si="5">G34*$B$9</f>
        <v>116593115.6656</v>
      </c>
      <c r="H43" s="21">
        <f t="shared" si="5"/>
        <v>116593115.6656</v>
      </c>
      <c r="I43" s="21">
        <f t="shared" si="5"/>
        <v>116593115.6656</v>
      </c>
      <c r="J43" s="21">
        <f t="shared" si="5"/>
        <v>116593115.6656</v>
      </c>
      <c r="K43" s="21">
        <f t="shared" si="5"/>
        <v>116593115.6656</v>
      </c>
      <c r="L43" s="21">
        <f t="shared" si="5"/>
        <v>116593115.6656</v>
      </c>
      <c r="M43" s="21">
        <f t="shared" si="5"/>
        <v>116593115.6656</v>
      </c>
      <c r="N43" s="21">
        <f t="shared" si="5"/>
        <v>116593115.6656</v>
      </c>
      <c r="O43" s="21">
        <f t="shared" si="5"/>
        <v>116593115.6656</v>
      </c>
      <c r="P43" s="21">
        <f t="shared" si="5"/>
        <v>116593115.6656</v>
      </c>
      <c r="Q43" s="21">
        <f t="shared" si="5"/>
        <v>116593115.6656</v>
      </c>
      <c r="R43" s="21">
        <f t="shared" si="5"/>
        <v>116593115.6656</v>
      </c>
    </row>
    <row r="44" spans="1:18" x14ac:dyDescent="0.25">
      <c r="E44" t="s">
        <v>71</v>
      </c>
      <c r="F44" s="21">
        <f>F35*B12</f>
        <v>31844369853.551495</v>
      </c>
      <c r="G44" s="21">
        <f>(G35-F35)*$B$12</f>
        <v>-14955112141.673098</v>
      </c>
      <c r="H44" s="21">
        <f t="shared" ref="G44:R44" si="6">(H35-G35)*$B$12</f>
        <v>-1897572718.5985701</v>
      </c>
      <c r="I44" s="21">
        <f t="shared" si="6"/>
        <v>-1899997901.6804328</v>
      </c>
      <c r="J44" s="21">
        <f t="shared" si="6"/>
        <v>-1902426184.2550952</v>
      </c>
      <c r="K44" s="21">
        <f t="shared" si="6"/>
        <v>-1904857570.2838502</v>
      </c>
      <c r="L44" s="21">
        <f t="shared" si="6"/>
        <v>-1907292063.7330511</v>
      </c>
      <c r="M44" s="21">
        <f t="shared" si="6"/>
        <v>-1909729668.5741205</v>
      </c>
      <c r="N44" s="21">
        <f t="shared" si="6"/>
        <v>-1912170388.7835577</v>
      </c>
      <c r="O44" s="21">
        <f t="shared" si="6"/>
        <v>-1914614228.3429394</v>
      </c>
      <c r="P44" s="21">
        <f t="shared" si="6"/>
        <v>-1917061191.2389386</v>
      </c>
      <c r="Q44" s="21">
        <f>(Q35-P35)*$B$12</f>
        <v>-1919511281.4633183</v>
      </c>
      <c r="R44" s="21">
        <f t="shared" si="6"/>
        <v>-1921964503.0129459</v>
      </c>
    </row>
    <row r="45" spans="1:18" x14ac:dyDescent="0.25">
      <c r="A45" s="19" t="s">
        <v>58</v>
      </c>
      <c r="B45" s="20">
        <f>B43/B30</f>
        <v>0.17222107099918363</v>
      </c>
      <c r="C45" s="20">
        <f>C43/C30</f>
        <v>0.1113452313191346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x14ac:dyDescent="0.25">
      <c r="E46" t="s">
        <v>72</v>
      </c>
      <c r="F46" s="22">
        <v>0</v>
      </c>
      <c r="G46" s="21">
        <f>G35-G44</f>
        <v>63210134175.611382</v>
      </c>
      <c r="H46" s="21">
        <f t="shared" ref="G46:R46" si="7">H35-H44</f>
        <v>44730958413.6838</v>
      </c>
      <c r="I46" s="21">
        <f t="shared" si="7"/>
        <v>39304818163.392998</v>
      </c>
      <c r="J46" s="21">
        <f t="shared" si="7"/>
        <v>33871743062.381672</v>
      </c>
      <c r="K46" s="21">
        <f t="shared" si="7"/>
        <v>28431724247.599426</v>
      </c>
      <c r="L46" s="21">
        <f t="shared" si="7"/>
        <v>22984752844.66848</v>
      </c>
      <c r="M46" s="21">
        <f t="shared" si="7"/>
        <v>17530819967.869205</v>
      </c>
      <c r="N46" s="21">
        <f t="shared" si="7"/>
        <v>12069916720.12562</v>
      </c>
      <c r="O46" s="21">
        <f t="shared" si="7"/>
        <v>6602034192.9908886</v>
      </c>
      <c r="P46" s="21">
        <f t="shared" si="7"/>
        <v>1127163466.6327777</v>
      </c>
      <c r="Q46" s="21">
        <f t="shared" si="7"/>
        <v>-4354704390.1808949</v>
      </c>
      <c r="R46" s="21">
        <f t="shared" si="7"/>
        <v>-9843578320.0968285</v>
      </c>
    </row>
    <row r="47" spans="1:18" x14ac:dyDescent="0.25">
      <c r="E47" t="s">
        <v>73</v>
      </c>
      <c r="F47" s="23">
        <f>F46</f>
        <v>0</v>
      </c>
      <c r="G47" s="5">
        <f>G46/SUM($F$34:G34)</f>
        <v>0.6892195817383594</v>
      </c>
      <c r="H47" s="5">
        <f>H46/SUM($F$34:H34)</f>
        <v>0.48388485401374848</v>
      </c>
      <c r="I47" s="5">
        <f>I46/SUM($F$34:I34)</f>
        <v>0.42186115153507076</v>
      </c>
      <c r="J47" s="5">
        <f>J46/SUM($F$34:J34)</f>
        <v>0.36072627202334567</v>
      </c>
      <c r="K47" s="5">
        <f>K46/SUM($F$34:K34)</f>
        <v>0.3004595878746627</v>
      </c>
      <c r="L47" s="5">
        <f>L46/SUM($F$34:L34)</f>
        <v>0.24104110190679101</v>
      </c>
      <c r="M47" s="5">
        <f>M46/SUM($F$34:M34)</f>
        <v>0.18245142345345899</v>
      </c>
      <c r="N47" s="5">
        <f>N46/SUM($F$34:N34)</f>
        <v>0.12467174553825115</v>
      </c>
      <c r="O47" s="5">
        <f>O46/SUM($F$34:O34)</f>
        <v>6.7683823071663582E-2</v>
      </c>
      <c r="P47" s="5">
        <f>P46/SUM($F$34:P34)</f>
        <v>1.1469952018208799E-2</v>
      </c>
      <c r="Q47" s="5">
        <f>Q46/SUM($F$34:Q34)</f>
        <v>-4.3987050516411372E-2</v>
      </c>
      <c r="R47" s="5">
        <f>R46/SUM($F$34:R34)</f>
        <v>-9.8703865325125026E-2</v>
      </c>
    </row>
  </sheetData>
  <mergeCells count="2">
    <mergeCell ref="C3:C5"/>
    <mergeCell ref="H23:I2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2"/>
  <sheetViews>
    <sheetView workbookViewId="0">
      <selection activeCell="F12" sqref="F12"/>
    </sheetView>
  </sheetViews>
  <sheetFormatPr defaultColWidth="11.42578125" defaultRowHeight="15" x14ac:dyDescent="0.25"/>
  <cols>
    <col min="2" max="2" width="25.140625" customWidth="1"/>
    <col min="6" max="7" width="22.85546875" customWidth="1"/>
  </cols>
  <sheetData>
    <row r="2" spans="1:7" x14ac:dyDescent="0.25">
      <c r="A2">
        <v>1</v>
      </c>
      <c r="B2" t="s">
        <v>0</v>
      </c>
      <c r="F2" s="1">
        <v>1</v>
      </c>
    </row>
    <row r="3" spans="1:7" x14ac:dyDescent="0.25">
      <c r="A3">
        <v>2</v>
      </c>
      <c r="B3" t="s">
        <v>1</v>
      </c>
      <c r="F3" s="1" t="s">
        <v>9</v>
      </c>
    </row>
    <row r="4" spans="1:7" x14ac:dyDescent="0.25">
      <c r="A4">
        <v>3</v>
      </c>
      <c r="B4" t="s">
        <v>3</v>
      </c>
      <c r="F4" s="1" t="s">
        <v>4</v>
      </c>
    </row>
    <row r="5" spans="1:7" x14ac:dyDescent="0.25">
      <c r="A5">
        <v>4</v>
      </c>
      <c r="B5" t="s">
        <v>2</v>
      </c>
      <c r="F5" s="1" t="s">
        <v>5</v>
      </c>
    </row>
    <row r="6" spans="1:7" x14ac:dyDescent="0.25">
      <c r="F6" s="1" t="s">
        <v>7</v>
      </c>
    </row>
    <row r="7" spans="1:7" x14ac:dyDescent="0.25">
      <c r="F7" s="1" t="s">
        <v>6</v>
      </c>
    </row>
    <row r="8" spans="1:7" x14ac:dyDescent="0.25">
      <c r="F8" s="1" t="s">
        <v>8</v>
      </c>
    </row>
    <row r="12" spans="1:7" x14ac:dyDescent="0.25">
      <c r="G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Ossian Ramirez</cp:lastModifiedBy>
  <dcterms:created xsi:type="dcterms:W3CDTF">2026-04-29T01:02:50Z</dcterms:created>
  <dcterms:modified xsi:type="dcterms:W3CDTF">2026-05-18T01:16:16Z</dcterms:modified>
</cp:coreProperties>
</file>