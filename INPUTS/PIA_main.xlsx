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ssia\Documents\SEMESTRES_FACULTAD\New_5th_semester\Contabilidad_de_seguros\PROYECTO\INPUTS\"/>
    </mc:Choice>
  </mc:AlternateContent>
  <xr:revisionPtr revIDLastSave="0" documentId="13_ncr:1_{B1DF22BA-BEF8-44BD-AF51-F80C23C0AFFA}" xr6:coauthVersionLast="47" xr6:coauthVersionMax="47" xr10:uidLastSave="{00000000-0000-0000-0000-000000000000}"/>
  <bookViews>
    <workbookView xWindow="-120" yWindow="-120" windowWidth="29040" windowHeight="15840" activeTab="1" xr2:uid="{00000000-000D-0000-FFFF-FFFF00000000}"/>
  </bookViews>
  <sheets>
    <sheet name="DATOS" sheetId="1" r:id="rId1"/>
    <sheet name="PROYECCION" sheetId="2" r:id="rId2"/>
    <sheet name="Sheet1" sheetId="3" r:id="rId3"/>
    <sheet name="PROYECCION_MEJORAD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4" l="1"/>
  <c r="B62" i="4"/>
  <c r="M60" i="4"/>
  <c r="L60" i="4"/>
  <c r="K60" i="4"/>
  <c r="J60" i="4"/>
  <c r="I60" i="4"/>
  <c r="H60" i="4"/>
  <c r="G60" i="4"/>
  <c r="F60" i="4"/>
  <c r="E60" i="4"/>
  <c r="D60" i="4"/>
  <c r="C60" i="4"/>
  <c r="B60" i="4"/>
  <c r="M57" i="4"/>
  <c r="L57" i="4"/>
  <c r="K57" i="4"/>
  <c r="J57" i="4"/>
  <c r="I57" i="4"/>
  <c r="H57" i="4"/>
  <c r="G57" i="4"/>
  <c r="F57" i="4"/>
  <c r="E57" i="4"/>
  <c r="D57" i="4"/>
  <c r="C57" i="4"/>
  <c r="B57" i="4"/>
  <c r="B51" i="4"/>
  <c r="B41" i="4"/>
  <c r="B35" i="4"/>
  <c r="B34" i="4"/>
  <c r="L59" i="4" s="1"/>
  <c r="I33" i="4"/>
  <c r="B32" i="4"/>
  <c r="H58" i="4" s="1"/>
  <c r="F22" i="4"/>
  <c r="E22" i="4"/>
  <c r="D22" i="4"/>
  <c r="C22" i="4"/>
  <c r="B22" i="4"/>
  <c r="F21" i="4"/>
  <c r="B21" i="4"/>
  <c r="F13" i="4"/>
  <c r="E13" i="4"/>
  <c r="D13" i="4"/>
  <c r="C13" i="4"/>
  <c r="F11" i="4"/>
  <c r="E11" i="4"/>
  <c r="D11" i="4"/>
  <c r="C11" i="4"/>
  <c r="B11" i="4"/>
  <c r="F9" i="4"/>
  <c r="E9" i="4"/>
  <c r="D9" i="4"/>
  <c r="C9" i="4"/>
  <c r="B9" i="4"/>
  <c r="F7" i="4"/>
  <c r="E7" i="4"/>
  <c r="D7" i="4"/>
  <c r="C7" i="4"/>
  <c r="F5" i="4"/>
  <c r="E5" i="4"/>
  <c r="D5" i="4"/>
  <c r="C5" i="4"/>
  <c r="B5" i="4"/>
  <c r="G5" i="4" s="1"/>
  <c r="F3" i="4"/>
  <c r="E3" i="4"/>
  <c r="D3" i="4"/>
  <c r="C3" i="4"/>
  <c r="I27" i="2"/>
  <c r="I16" i="2"/>
  <c r="H15" i="2"/>
  <c r="H2" i="2"/>
  <c r="F15" i="2"/>
  <c r="D45" i="2"/>
  <c r="C45" i="2"/>
  <c r="B28" i="2"/>
  <c r="B15" i="2"/>
  <c r="F13" i="2"/>
  <c r="E13" i="2"/>
  <c r="D13" i="2"/>
  <c r="C13" i="2"/>
  <c r="G13" i="2" s="1"/>
  <c r="B23" i="2" s="1"/>
  <c r="B16" i="2"/>
  <c r="B29" i="2"/>
  <c r="F16" i="2"/>
  <c r="D16" i="2"/>
  <c r="C16" i="2"/>
  <c r="E16" i="2"/>
  <c r="B51" i="2"/>
  <c r="C51" i="2"/>
  <c r="D51" i="2"/>
  <c r="E51" i="2"/>
  <c r="F51" i="2"/>
  <c r="G51" i="2"/>
  <c r="H51" i="2"/>
  <c r="I51" i="2"/>
  <c r="J51" i="2"/>
  <c r="K51" i="2"/>
  <c r="L51" i="2"/>
  <c r="M51" i="2"/>
  <c r="F11" i="2"/>
  <c r="E11" i="2"/>
  <c r="D11" i="2"/>
  <c r="C11" i="2"/>
  <c r="B11" i="2"/>
  <c r="F9" i="2"/>
  <c r="E9" i="2"/>
  <c r="D9" i="2"/>
  <c r="C9" i="2"/>
  <c r="B9" i="2"/>
  <c r="F7" i="2"/>
  <c r="E7" i="2"/>
  <c r="D7" i="2"/>
  <c r="C7" i="2"/>
  <c r="F5" i="2"/>
  <c r="E5" i="2"/>
  <c r="D5" i="2"/>
  <c r="C5" i="2"/>
  <c r="B5" i="2"/>
  <c r="F3" i="2"/>
  <c r="E3" i="2"/>
  <c r="D3" i="2"/>
  <c r="C3" i="2"/>
  <c r="B26" i="2"/>
  <c r="B35" i="2"/>
  <c r="G3" i="1"/>
  <c r="D23" i="1"/>
  <c r="B56" i="2"/>
  <c r="B45" i="2"/>
  <c r="M54" i="2"/>
  <c r="L54" i="2"/>
  <c r="K54" i="2"/>
  <c r="J54" i="2"/>
  <c r="I54" i="2"/>
  <c r="H54" i="2"/>
  <c r="G54" i="2"/>
  <c r="F54" i="2"/>
  <c r="E54" i="2"/>
  <c r="D54" i="2"/>
  <c r="C54" i="2"/>
  <c r="B54" i="2"/>
  <c r="G3" i="4" l="1"/>
  <c r="B27" i="4" s="1"/>
  <c r="C52" i="4"/>
  <c r="F59" i="4"/>
  <c r="E59" i="4"/>
  <c r="M59" i="4"/>
  <c r="G13" i="4"/>
  <c r="G9" i="4"/>
  <c r="G7" i="4"/>
  <c r="B28" i="4" s="1"/>
  <c r="N28" i="4" s="1"/>
  <c r="B58" i="4"/>
  <c r="C58" i="4"/>
  <c r="K58" i="4"/>
  <c r="G59" i="4"/>
  <c r="D58" i="4"/>
  <c r="L58" i="4"/>
  <c r="H59" i="4"/>
  <c r="E58" i="4"/>
  <c r="M58" i="4"/>
  <c r="I59" i="4"/>
  <c r="I58" i="4"/>
  <c r="J58" i="4"/>
  <c r="J59" i="4"/>
  <c r="G58" i="4"/>
  <c r="C59" i="4"/>
  <c r="K59" i="4"/>
  <c r="F58" i="4"/>
  <c r="B59" i="4"/>
  <c r="D59" i="4"/>
  <c r="G9" i="2"/>
  <c r="G7" i="2"/>
  <c r="B22" i="2" s="1"/>
  <c r="C22" i="2" s="1"/>
  <c r="G5" i="2"/>
  <c r="G3" i="2"/>
  <c r="B21" i="2" s="1"/>
  <c r="C46" i="2"/>
  <c r="H2" i="4" l="1"/>
  <c r="H21" i="4" s="1"/>
  <c r="I22" i="4" s="1"/>
  <c r="C27" i="4"/>
  <c r="K27" i="4" s="1"/>
  <c r="G28" i="4"/>
  <c r="C28" i="4"/>
  <c r="K28" i="4"/>
  <c r="M28" i="4"/>
  <c r="B29" i="4"/>
  <c r="E28" i="4"/>
  <c r="D28" i="4"/>
  <c r="C51" i="4"/>
  <c r="D52" i="4" s="1"/>
  <c r="L28" i="4"/>
  <c r="I28" i="4"/>
  <c r="F28" i="4"/>
  <c r="H28" i="4"/>
  <c r="J28" i="4"/>
  <c r="C21" i="2"/>
  <c r="G21" i="2" s="1"/>
  <c r="D22" i="2"/>
  <c r="L22" i="2"/>
  <c r="G22" i="2"/>
  <c r="E22" i="2"/>
  <c r="I22" i="2"/>
  <c r="M22" i="2"/>
  <c r="J22" i="2"/>
  <c r="F22" i="2"/>
  <c r="K22" i="2"/>
  <c r="H22" i="2"/>
  <c r="N22" i="2"/>
  <c r="L27" i="4" l="1"/>
  <c r="J27" i="4"/>
  <c r="F27" i="4"/>
  <c r="M27" i="4"/>
  <c r="D27" i="4"/>
  <c r="H27" i="4"/>
  <c r="N27" i="4"/>
  <c r="I27" i="4"/>
  <c r="E27" i="4"/>
  <c r="G27" i="4"/>
  <c r="D51" i="4"/>
  <c r="E52" i="4" s="1"/>
  <c r="E51" i="4" s="1"/>
  <c r="H21" i="2"/>
  <c r="I21" i="2"/>
  <c r="F21" i="2"/>
  <c r="E21" i="2"/>
  <c r="M21" i="2"/>
  <c r="D21" i="2"/>
  <c r="L21" i="2"/>
  <c r="J21" i="2"/>
  <c r="K21" i="2"/>
  <c r="N21" i="2"/>
  <c r="G9" i="1"/>
  <c r="F9" i="1"/>
  <c r="E9" i="1"/>
  <c r="D9" i="1"/>
  <c r="C9" i="1"/>
  <c r="F5" i="1"/>
  <c r="E5" i="1"/>
  <c r="D5" i="1"/>
  <c r="C5" i="1"/>
  <c r="B9" i="1"/>
  <c r="B5" i="1"/>
  <c r="G5" i="1" s="1"/>
  <c r="F7" i="1"/>
  <c r="E7" i="1"/>
  <c r="D7" i="1"/>
  <c r="G7" i="1" s="1"/>
  <c r="B17" i="1" s="1"/>
  <c r="C3" i="1"/>
  <c r="C7" i="1"/>
  <c r="F3" i="1"/>
  <c r="E3" i="1"/>
  <c r="D3" i="1"/>
  <c r="F52" i="4" l="1"/>
  <c r="F51" i="4" s="1"/>
  <c r="F17" i="1"/>
  <c r="L17" i="1"/>
  <c r="M17" i="1"/>
  <c r="C17" i="1"/>
  <c r="K17" i="1"/>
  <c r="D17" i="1"/>
  <c r="J17" i="1"/>
  <c r="C16" i="1"/>
  <c r="B16" i="1"/>
  <c r="J52" i="2"/>
  <c r="G52" i="2"/>
  <c r="K52" i="2"/>
  <c r="C52" i="2"/>
  <c r="B52" i="2"/>
  <c r="H52" i="2"/>
  <c r="E52" i="2"/>
  <c r="F52" i="2"/>
  <c r="D52" i="2"/>
  <c r="I52" i="2"/>
  <c r="L52" i="2"/>
  <c r="M52" i="2"/>
  <c r="E17" i="1"/>
  <c r="I17" i="1"/>
  <c r="H17" i="1"/>
  <c r="G17" i="1"/>
  <c r="N17" i="1"/>
  <c r="G52" i="4" l="1"/>
  <c r="G51" i="4" s="1"/>
  <c r="B53" i="2"/>
  <c r="E53" i="2"/>
  <c r="F53" i="2"/>
  <c r="M53" i="2"/>
  <c r="G53" i="2"/>
  <c r="J53" i="2"/>
  <c r="C53" i="2"/>
  <c r="D53" i="2"/>
  <c r="I53" i="2"/>
  <c r="H53" i="2"/>
  <c r="K53" i="2"/>
  <c r="L53" i="2"/>
  <c r="E16" i="1"/>
  <c r="L16" i="1"/>
  <c r="M16" i="1"/>
  <c r="K16" i="1"/>
  <c r="F16" i="1"/>
  <c r="N16" i="1"/>
  <c r="G16" i="1"/>
  <c r="H16" i="1"/>
  <c r="I16" i="1"/>
  <c r="J16" i="1"/>
  <c r="H52" i="4" l="1"/>
  <c r="H51" i="4" s="1"/>
  <c r="D46" i="2"/>
  <c r="I52" i="4" l="1"/>
  <c r="I51" i="4" s="1"/>
  <c r="E46" i="2"/>
  <c r="E45" i="2" s="1"/>
  <c r="D16" i="1"/>
  <c r="J52" i="4" l="1"/>
  <c r="J51" i="4" s="1"/>
  <c r="F46" i="2"/>
  <c r="F45" i="2" s="1"/>
  <c r="K52" i="4" l="1"/>
  <c r="K51" i="4" s="1"/>
  <c r="G46" i="2"/>
  <c r="G45" i="2" s="1"/>
  <c r="L52" i="4" l="1"/>
  <c r="L51" i="4" s="1"/>
  <c r="H46" i="2"/>
  <c r="H45" i="2" s="1"/>
  <c r="M52" i="4" l="1"/>
  <c r="M51" i="4" s="1"/>
  <c r="I46" i="2"/>
  <c r="I45" i="2" s="1"/>
  <c r="N52" i="4" l="1"/>
  <c r="B63" i="4" s="1"/>
  <c r="B64" i="4" s="1"/>
  <c r="J46" i="2"/>
  <c r="J45" i="2" s="1"/>
  <c r="K46" i="2" l="1"/>
  <c r="K45" i="2" s="1"/>
  <c r="L46" i="2" l="1"/>
  <c r="L45" i="2" s="1"/>
  <c r="M46" i="2" l="1"/>
  <c r="M45" i="2" s="1"/>
  <c r="N46" i="2" s="1"/>
  <c r="B57" i="2" l="1"/>
  <c r="B5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Ossian Ramirez</author>
  </authors>
  <commentList>
    <comment ref="A47" authorId="0" shapeId="0" xr:uid="{AED5C490-22FA-417F-9A2B-E35828179CAA}">
      <text>
        <r>
          <rPr>
            <b/>
            <sz val="9"/>
            <color indexed="81"/>
            <rFont val="Tahoma"/>
            <family val="2"/>
          </rPr>
          <t>Ossian Ramirez:</t>
        </r>
        <r>
          <rPr>
            <sz val="9"/>
            <color indexed="81"/>
            <rFont val="Tahoma"/>
            <family val="2"/>
          </rPr>
          <t xml:space="preserve">
Como se asume que no hay pagos fraccionados, esta fila es irrelevante.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Ossian Ramirez</author>
  </authors>
  <commentList>
    <comment ref="A53" authorId="0" shapeId="0" xr:uid="{BFD1429E-18D4-45D8-9928-AC528519D81D}">
      <text>
        <r>
          <rPr>
            <b/>
            <sz val="9"/>
            <color indexed="81"/>
            <rFont val="Tahoma"/>
            <family val="2"/>
          </rPr>
          <t>Ossian Ramirez:</t>
        </r>
        <r>
          <rPr>
            <sz val="9"/>
            <color indexed="81"/>
            <rFont val="Tahoma"/>
            <family val="2"/>
          </rPr>
          <t xml:space="preserve">
Como se asume que no hay pagos fraccionados, esta fila es irrelevante.</t>
        </r>
      </text>
    </comment>
  </commentList>
</comments>
</file>

<file path=xl/sharedStrings.xml><?xml version="1.0" encoding="utf-8"?>
<sst xmlns="http://schemas.openxmlformats.org/spreadsheetml/2006/main" count="218" uniqueCount="105">
  <si>
    <t xml:space="preserve">Prima emitida </t>
  </si>
  <si>
    <t>Costo Neto de Adquisición</t>
  </si>
  <si>
    <t>Costo Neto de Siniestralidad</t>
  </si>
  <si>
    <t>Gastos de operación Netos</t>
  </si>
  <si>
    <t>Incremento/Decremento (%)</t>
  </si>
  <si>
    <t>% de costo de admin/prima</t>
  </si>
  <si>
    <t>% de costos de operación/prima</t>
  </si>
  <si>
    <t>N/A</t>
  </si>
  <si>
    <t>Promedios</t>
  </si>
  <si>
    <t>Proyeccion de la prima emitida</t>
  </si>
  <si>
    <t>Proyeccion del costo neto de siniestralidad</t>
  </si>
  <si>
    <t>Siniestros</t>
  </si>
  <si>
    <t>Estimado 2026</t>
  </si>
  <si>
    <t>Suposicion, se mantienen las primas del ciclo anterior.</t>
  </si>
  <si>
    <t>Prima de Riesgo</t>
  </si>
  <si>
    <t>qr</t>
  </si>
  <si>
    <t>G. Admon</t>
  </si>
  <si>
    <t>Gastos de administracion</t>
  </si>
  <si>
    <t>Bonos</t>
  </si>
  <si>
    <t>Gastos de Adquisicion</t>
  </si>
  <si>
    <t>Comisiones</t>
  </si>
  <si>
    <t>O.G.Adq.</t>
  </si>
  <si>
    <t>I.V.A.</t>
  </si>
  <si>
    <t>inflacion</t>
  </si>
  <si>
    <t>Derechos de Poliza</t>
  </si>
  <si>
    <t>Impuestos sobre la utilidad</t>
  </si>
  <si>
    <t>Analisis</t>
  </si>
  <si>
    <t>Rendimiento de inversion:</t>
  </si>
  <si>
    <t>real anual</t>
  </si>
  <si>
    <t>CETES 364 dias</t>
  </si>
  <si>
    <t>anual nominal</t>
  </si>
  <si>
    <t>PROYECCION</t>
  </si>
  <si>
    <t>Mensual</t>
  </si>
  <si>
    <t>Ingresos</t>
  </si>
  <si>
    <t>Primas</t>
  </si>
  <si>
    <t>Reserva</t>
  </si>
  <si>
    <t>Rendimiento de la Rva.</t>
  </si>
  <si>
    <t>Recargos</t>
  </si>
  <si>
    <t>Periodo</t>
  </si>
  <si>
    <t>Gastos</t>
  </si>
  <si>
    <t>Gastos de admon.</t>
  </si>
  <si>
    <t>Gastos de adq.</t>
  </si>
  <si>
    <t>IVA</t>
  </si>
  <si>
    <t>Rentabilidad del periodo</t>
  </si>
  <si>
    <t>% reserva invertida</t>
  </si>
  <si>
    <t>ISR del periodo</t>
  </si>
  <si>
    <t>Suposiciones</t>
  </si>
  <si>
    <t>Utilidad/perdida del ejercicio</t>
  </si>
  <si>
    <t>Utilidad/Perdida del Ejercicio</t>
  </si>
  <si>
    <t>Fin del ciclo contable</t>
  </si>
  <si>
    <t>DATOS</t>
  </si>
  <si>
    <t>2021</t>
  </si>
  <si>
    <t>2022</t>
  </si>
  <si>
    <t>2023</t>
  </si>
  <si>
    <t>2024</t>
  </si>
  <si>
    <t>2025</t>
  </si>
  <si>
    <t>Observaciones de la tabla</t>
  </si>
  <si>
    <t>Esta tabla contiene la informacion escencial de los estados financieros de MetLife del 2021 al 2025, inclusive.</t>
  </si>
  <si>
    <r>
      <t xml:space="preserve">Usando la informacion registrada, se calculan cuatro estadisticos importantes: </t>
    </r>
    <r>
      <rPr>
        <b/>
        <sz val="11"/>
        <color theme="1"/>
        <rFont val="Calibri"/>
        <family val="2"/>
        <scheme val="minor"/>
      </rPr>
      <t xml:space="preserve">(1) </t>
    </r>
    <r>
      <rPr>
        <sz val="11"/>
        <color theme="1"/>
        <rFont val="Calibri"/>
        <family val="2"/>
        <scheme val="minor"/>
      </rPr>
      <t xml:space="preserve">El </t>
    </r>
    <r>
      <rPr>
        <b/>
        <sz val="11"/>
        <color theme="1"/>
        <rFont val="Calibri"/>
        <family val="2"/>
        <scheme val="minor"/>
      </rPr>
      <t>promedio del incremento de la prima emitida</t>
    </r>
    <r>
      <rPr>
        <sz val="11"/>
        <color theme="1"/>
        <rFont val="Calibri"/>
        <family val="2"/>
        <scheme val="minor"/>
      </rPr>
      <t>;</t>
    </r>
    <r>
      <rPr>
        <b/>
        <sz val="11"/>
        <color theme="1"/>
        <rFont val="Calibri"/>
        <family val="2"/>
        <scheme val="minor"/>
      </rPr>
      <t xml:space="preserve"> (2) </t>
    </r>
    <r>
      <rPr>
        <sz val="11"/>
        <color theme="1"/>
        <rFont val="Calibri"/>
        <family val="2"/>
        <scheme val="minor"/>
      </rPr>
      <t>el</t>
    </r>
    <r>
      <rPr>
        <b/>
        <sz val="11"/>
        <color theme="1"/>
        <rFont val="Calibri"/>
        <family val="2"/>
        <scheme val="minor"/>
      </rPr>
      <t xml:space="preserve"> promedio del costo neto de adquisicion</t>
    </r>
    <r>
      <rPr>
        <sz val="11"/>
        <color theme="1"/>
        <rFont val="Calibri"/>
        <family val="2"/>
        <scheme val="minor"/>
      </rPr>
      <t>;</t>
    </r>
    <r>
      <rPr>
        <b/>
        <sz val="11"/>
        <color theme="1"/>
        <rFont val="Calibri"/>
        <family val="2"/>
        <scheme val="minor"/>
      </rPr>
      <t xml:space="preserve"> (3) </t>
    </r>
    <r>
      <rPr>
        <sz val="11"/>
        <color theme="1"/>
        <rFont val="Calibri"/>
        <family val="2"/>
        <scheme val="minor"/>
      </rPr>
      <t>El</t>
    </r>
    <r>
      <rPr>
        <b/>
        <sz val="11"/>
        <color theme="1"/>
        <rFont val="Calibri"/>
        <family val="2"/>
        <scheme val="minor"/>
      </rPr>
      <t xml:space="preserve"> promedio del costo neto de adquisicion</t>
    </r>
    <r>
      <rPr>
        <sz val="11"/>
        <color theme="1"/>
        <rFont val="Calibri"/>
        <family val="2"/>
        <scheme val="minor"/>
      </rPr>
      <t>; y</t>
    </r>
    <r>
      <rPr>
        <b/>
        <sz val="11"/>
        <color theme="1"/>
        <rFont val="Calibri"/>
        <family val="2"/>
        <scheme val="minor"/>
      </rPr>
      <t xml:space="preserve"> (4) </t>
    </r>
    <r>
      <rPr>
        <sz val="11"/>
        <color theme="1"/>
        <rFont val="Calibri"/>
        <family val="2"/>
        <scheme val="minor"/>
      </rPr>
      <t>el</t>
    </r>
    <r>
      <rPr>
        <b/>
        <sz val="11"/>
        <color theme="1"/>
        <rFont val="Calibri"/>
        <family val="2"/>
        <scheme val="minor"/>
      </rPr>
      <t xml:space="preserve"> promedio de costo neto de siniestralidad.</t>
    </r>
  </si>
  <si>
    <t>Para plantear escenarios y hacer recomendaciones de objetivos para mejorar el rendimiento de la aseguradora, nos centraremos en analizar y realizar proyecciones para distintos valores de estos estadisticos.</t>
  </si>
  <si>
    <t>Todos los asegurados mantienen su seguro para el año 2026.</t>
  </si>
  <si>
    <t>Todas los seguros son pagados anualmente, al inicio de cada ciclo.</t>
  </si>
  <si>
    <t>El cierre del ciclo contable sucede el 31 de Diciembre.</t>
  </si>
  <si>
    <t>Una implicacion de que el ciclo contable cierre el 31 de Diciembre, es que las primas que se reciban en Enero del 2027 no se contaran para el calculo de la utilidad/perdida neta del ejercicio. Lo que si, es que se tendra que contabilizar los intereses por inversiones de este ultimo periodo (por eso se agrego una columna extra donde solo hay el dato del rendimiento de la reserva).</t>
  </si>
  <si>
    <t>Rentabilidad del ejercicio</t>
  </si>
  <si>
    <t>1. Primas emitidas</t>
  </si>
  <si>
    <t>Falta tomar en cuenta primas cedidas, de retencion e incremento neto de la reserva de riesgos en curso y fianzas en vigor</t>
  </si>
  <si>
    <t>Probablemente el mejor dato a tomar en cuenta sean las primas de retencion devengadas</t>
  </si>
  <si>
    <t>2. (-) Costo de adquisicion</t>
  </si>
  <si>
    <t>No hay problema con este</t>
  </si>
  <si>
    <t>3. (-) Costo de siniestralidad</t>
  </si>
  <si>
    <t>3. (-) Gastos de operacion</t>
  </si>
  <si>
    <t>EXTRA</t>
  </si>
  <si>
    <t>Una parte importante son los resultados integrales de financiamiento, esto no lo estamos tomando en cuenta.</t>
  </si>
  <si>
    <t>Utilidad/Perdida de la Operacion</t>
  </si>
  <si>
    <t>ISR de la operacion</t>
  </si>
  <si>
    <t>Resultado Integral de Financiamiento</t>
  </si>
  <si>
    <t>Proyeccion del RIF</t>
  </si>
  <si>
    <t>No solo tomar en cuenta las primas emitidas, sino tambien las primas cedidas.</t>
  </si>
  <si>
    <t>Punto a mejorar</t>
  </si>
  <si>
    <t>Como mejorarlo</t>
  </si>
  <si>
    <t>Tambien tomar en cuenta los incrementos/decrementos netos de la reserva de riesgos en curso y de fianzas en vigor</t>
  </si>
  <si>
    <t>Proyectar tambien el RIF</t>
  </si>
  <si>
    <t>Ajustar el ingreso mensual, no todas se pagan al inicio del ano</t>
  </si>
  <si>
    <t>Calcular el promedio de la tasa de retencion (primas retenidas/emitidas)</t>
  </si>
  <si>
    <t>Proyectar el total de inversiones para el 2026. Calcular el promedio de la razon (inversiones/RIF). Multiplicar el total de inversiones proyectado por el promedio de la razon y pum, proyectamos el RIF.</t>
  </si>
  <si>
    <t>Primas cedidas</t>
  </si>
  <si>
    <t>Primas retenidas</t>
  </si>
  <si>
    <t>Principal ingreso de una aseguradora es el RIF</t>
  </si>
  <si>
    <t>Inversiones</t>
  </si>
  <si>
    <t>Extra</t>
  </si>
  <si>
    <t>Proyeccion de primas emitidas</t>
  </si>
  <si>
    <t>Proyeccion de primas cedidas</t>
  </si>
  <si>
    <t>Proyeccion de incrementos/decrementos netos de la reserva de riesgos en curso y de fianzas en vigor</t>
  </si>
  <si>
    <t>Costo neto de siniestralidad</t>
  </si>
  <si>
    <t>Costos</t>
  </si>
  <si>
    <t>Costo neto de adquisicion</t>
  </si>
  <si>
    <t>Costo neto de operacion</t>
  </si>
  <si>
    <t>Promedio de tasas de incremento.</t>
  </si>
  <si>
    <t>Promedio de proporcion con respecto a primas cedidas.</t>
  </si>
  <si>
    <t>Promedio de proporcion con respecto a primas cedidas</t>
  </si>
  <si>
    <t>RIF</t>
  </si>
  <si>
    <t>Comentarios</t>
  </si>
  <si>
    <t>Es una mejor idea amortizar el total de la prima a lo largo de los 12 meses de 2026, que asumir que todos las polizas del ano anterior se pagan en enero + la proporcion del incremento amortizado mensual en los 12 meses.</t>
  </si>
  <si>
    <t>Deberia agregar una proyeccion para los siniestros cedidos?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</si>
</sst>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409]mmm\-yy;@"/>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2" tint="-0.749992370372631"/>
      <name val="Calibri"/>
      <family val="2"/>
      <scheme val="minor"/>
    </font>
    <font>
      <b/>
      <u/>
      <sz val="18"/>
      <color theme="1"/>
      <name val="Calibri"/>
      <family val="2"/>
      <scheme val="minor"/>
    </font>
    <font>
      <b/>
      <sz val="9"/>
      <color indexed="81"/>
      <name val="Tahoma"/>
      <family val="2"/>
    </font>
    <font>
      <sz val="9"/>
      <color indexed="81"/>
      <name val="Tahoma"/>
      <family val="2"/>
    </font>
    <font>
      <sz val="8"/>
      <name val="Calibri"/>
      <family val="2"/>
      <scheme val="minor"/>
    </font>
    <font>
      <b/>
      <sz val="11"/>
      <color theme="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theme="7" tint="0.79998168889431442"/>
        <bgColor indexed="64"/>
      </patternFill>
    </fill>
    <fill>
      <patternFill patternType="solid">
        <fgColor theme="7"/>
        <bgColor indexed="64"/>
      </patternFill>
    </fill>
    <fill>
      <patternFill patternType="solid">
        <fgColor rgb="FFFFFF00"/>
        <bgColor indexed="64"/>
      </patternFill>
    </fill>
    <fill>
      <patternFill patternType="solid">
        <fgColor rgb="FFFFFAEB"/>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6">
    <xf numFmtId="0" fontId="0" fillId="0" borderId="0" xfId="0"/>
    <xf numFmtId="10" fontId="0" fillId="0" borderId="0" xfId="0" applyNumberFormat="1"/>
    <xf numFmtId="164" fontId="0" fillId="0" borderId="0" xfId="0" applyNumberFormat="1"/>
    <xf numFmtId="10" fontId="0" fillId="0" borderId="0" xfId="1" applyNumberFormat="1" applyFont="1"/>
    <xf numFmtId="16" fontId="0" fillId="0" borderId="0" xfId="0" applyNumberFormat="1"/>
    <xf numFmtId="0" fontId="2" fillId="0" borderId="1" xfId="0" applyFont="1" applyBorder="1"/>
    <xf numFmtId="0" fontId="2" fillId="0" borderId="0" xfId="0" applyFont="1"/>
    <xf numFmtId="0" fontId="4" fillId="0" borderId="0" xfId="0" applyFont="1"/>
    <xf numFmtId="10" fontId="0" fillId="0" borderId="1" xfId="0" applyNumberFormat="1" applyBorder="1"/>
    <xf numFmtId="10" fontId="3" fillId="2" borderId="1" xfId="1" applyNumberFormat="1" applyFont="1" applyFill="1" applyBorder="1"/>
    <xf numFmtId="0" fontId="2" fillId="2" borderId="0" xfId="0" applyFont="1" applyFill="1"/>
    <xf numFmtId="0" fontId="0" fillId="3" borderId="0" xfId="0" applyFill="1"/>
    <xf numFmtId="0" fontId="0" fillId="0" borderId="0" xfId="0" applyAlignment="1">
      <alignment horizontal="center"/>
    </xf>
    <xf numFmtId="0" fontId="2" fillId="4" borderId="0" xfId="0" applyFont="1" applyFill="1"/>
    <xf numFmtId="9" fontId="0" fillId="3" borderId="0" xfId="0" applyNumberFormat="1" applyFill="1"/>
    <xf numFmtId="10" fontId="2" fillId="0" borderId="0" xfId="1" applyNumberFormat="1" applyFont="1"/>
    <xf numFmtId="165" fontId="0" fillId="0" borderId="0" xfId="0" applyNumberFormat="1" applyAlignment="1">
      <alignment horizontal="center"/>
    </xf>
    <xf numFmtId="164" fontId="0" fillId="0" borderId="0" xfId="1" applyNumberFormat="1" applyFont="1"/>
    <xf numFmtId="10" fontId="3" fillId="5" borderId="1" xfId="1" applyNumberFormat="1" applyFont="1" applyFill="1" applyBorder="1"/>
    <xf numFmtId="0" fontId="2" fillId="0" borderId="0" xfId="0" applyFont="1" applyAlignment="1">
      <alignment horizontal="center"/>
    </xf>
    <xf numFmtId="10" fontId="2" fillId="0" borderId="0" xfId="0" applyNumberFormat="1" applyFont="1" applyAlignment="1">
      <alignment horizontal="center"/>
    </xf>
    <xf numFmtId="10" fontId="2" fillId="0" borderId="0" xfId="1" applyNumberFormat="1" applyFont="1" applyAlignment="1">
      <alignment horizontal="center"/>
    </xf>
    <xf numFmtId="0" fontId="0" fillId="0" borderId="0" xfId="0" applyAlignment="1">
      <alignment vertical="center" wrapText="1"/>
    </xf>
    <xf numFmtId="164" fontId="2" fillId="0" borderId="0" xfId="0" applyNumberFormat="1" applyFont="1" applyAlignment="1">
      <alignment horizontal="center"/>
    </xf>
    <xf numFmtId="44" fontId="0" fillId="0" borderId="0" xfId="2" applyFont="1"/>
    <xf numFmtId="0" fontId="2" fillId="5" borderId="0" xfId="0" applyFont="1" applyFill="1" applyAlignment="1">
      <alignment horizontal="center"/>
    </xf>
    <xf numFmtId="0" fontId="0" fillId="3" borderId="0" xfId="0" applyFill="1" applyAlignment="1">
      <alignment vertical="top" wrapText="1"/>
    </xf>
    <xf numFmtId="0" fontId="0" fillId="6" borderId="0" xfId="0" applyFill="1" applyAlignment="1">
      <alignment vertical="top" wrapText="1"/>
    </xf>
    <xf numFmtId="0" fontId="0" fillId="3" borderId="0" xfId="0" applyFill="1" applyAlignment="1">
      <alignment vertical="top"/>
    </xf>
    <xf numFmtId="0" fontId="0" fillId="0" borderId="2" xfId="0" applyBorder="1" applyAlignment="1">
      <alignment horizontal="center" vertical="center" wrapText="1"/>
    </xf>
    <xf numFmtId="0" fontId="8" fillId="7" borderId="0" xfId="0" applyFont="1" applyFill="1" applyAlignment="1">
      <alignment horizontal="center"/>
    </xf>
    <xf numFmtId="0" fontId="2" fillId="0" borderId="0" xfId="0" applyFont="1" applyFill="1" applyAlignment="1">
      <alignment horizontal="center"/>
    </xf>
    <xf numFmtId="0" fontId="0" fillId="0" borderId="0" xfId="0" applyAlignment="1">
      <alignment wrapText="1"/>
    </xf>
    <xf numFmtId="9" fontId="0" fillId="0" borderId="0" xfId="0" applyNumberFormat="1"/>
    <xf numFmtId="44" fontId="0" fillId="0" borderId="0" xfId="0" applyNumberFormat="1"/>
    <xf numFmtId="44" fontId="2" fillId="0" borderId="0" xfId="0" applyNumberFormat="1" applyFont="1"/>
  </cellXfs>
  <cellStyles count="3">
    <cellStyle name="Currency" xfId="2" builtinId="4"/>
    <cellStyle name="Normal" xfId="0" builtinId="0"/>
    <cellStyle name="Percent" xfId="1" builtinId="5"/>
  </cellStyles>
  <dxfs count="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FF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873C7-D2A6-4B0D-AA96-A4D514319E8C}" name="Table1" displayName="Table1" ref="A1:F14" totalsRowShown="0">
  <autoFilter ref="A1:F14" xr:uid="{34C873C7-D2A6-4B0D-AA96-A4D514319E8C}"/>
  <tableColumns count="6">
    <tableColumn id="1" xr3:uid="{941982C8-6106-4E01-BBDE-4052BF325F14}" name="DATOS"/>
    <tableColumn id="2" xr3:uid="{76D059BA-6DC4-468C-A4C8-5707E64F2842}" name="2021"/>
    <tableColumn id="3" xr3:uid="{1C01D77B-EADB-4E47-970F-7EA0AA329F71}" name="2022" dataDxfId="7"/>
    <tableColumn id="4" xr3:uid="{BAAC300C-452A-4B92-94DD-8E053FCEA19C}" name="2023" dataDxfId="6"/>
    <tableColumn id="5" xr3:uid="{A610B37F-0555-44CB-834C-CDAE43DD0B4A}" name="2024" dataDxfId="5"/>
    <tableColumn id="6" xr3:uid="{F6483FFF-5DCA-4E81-807B-D004A3F233F0}" name="2025" dataDxfId="4"/>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74C99B-F15E-4CB2-9BE4-3BF47E89AD5F}" name="Table13" displayName="Table13" ref="A1:F14" totalsRowShown="0">
  <autoFilter ref="A1:F14" xr:uid="{34C873C7-D2A6-4B0D-AA96-A4D514319E8C}"/>
  <tableColumns count="6">
    <tableColumn id="1" xr3:uid="{0353C7BD-563B-48AF-B789-7CBB9310AC6B}" name="DATOS"/>
    <tableColumn id="2" xr3:uid="{EFF3BDAE-3C11-4B4A-B2A6-8D962397B38C}" name="2021"/>
    <tableColumn id="3" xr3:uid="{507F4A9C-A351-4376-B841-ED5702DEC706}" name="2022" dataDxfId="3"/>
    <tableColumn id="4" xr3:uid="{4AE73E11-ADB2-4C1B-BFF5-54EF8F8F9D81}" name="2023" dataDxfId="2"/>
    <tableColumn id="5" xr3:uid="{87A05B8A-9A15-4122-B216-89025B88DBFC}" name="2024" dataDxfId="1"/>
    <tableColumn id="6" xr3:uid="{55559074-9F25-4BBA-B1EF-F8D16280FB4A}" name="2025"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opLeftCell="H1" workbookViewId="0">
      <selection sqref="A1:N17"/>
    </sheetView>
  </sheetViews>
  <sheetFormatPr defaultRowHeight="15" x14ac:dyDescent="0.25"/>
  <cols>
    <col min="1" max="1" width="30" bestFit="1" customWidth="1"/>
    <col min="2" max="6" width="17.5703125" bestFit="1" customWidth="1"/>
    <col min="7" max="14" width="16.42578125" bestFit="1" customWidth="1"/>
  </cols>
  <sheetData>
    <row r="1" spans="1:14" x14ac:dyDescent="0.25">
      <c r="B1">
        <v>2021</v>
      </c>
      <c r="C1">
        <v>2022</v>
      </c>
      <c r="D1">
        <v>2023</v>
      </c>
      <c r="E1">
        <v>2024</v>
      </c>
      <c r="F1">
        <v>2025</v>
      </c>
      <c r="G1" t="s">
        <v>8</v>
      </c>
    </row>
    <row r="2" spans="1:14" x14ac:dyDescent="0.25">
      <c r="A2" t="s">
        <v>0</v>
      </c>
      <c r="B2" s="2">
        <v>62441218098.580002</v>
      </c>
      <c r="C2" s="2">
        <v>69680096878.970001</v>
      </c>
      <c r="D2" s="2">
        <v>79147328157.25</v>
      </c>
      <c r="E2" s="2">
        <v>84281015919.929993</v>
      </c>
      <c r="F2" s="2">
        <v>90255206894.380005</v>
      </c>
    </row>
    <row r="3" spans="1:14" x14ac:dyDescent="0.25">
      <c r="A3" t="s">
        <v>4</v>
      </c>
      <c r="B3" t="s">
        <v>7</v>
      </c>
      <c r="C3" s="1">
        <f>(C2/B2)-1</f>
        <v>0.11593109488930065</v>
      </c>
      <c r="D3" s="1">
        <f t="shared" ref="D3:F3" si="0">(D2/C2)-1</f>
        <v>0.13586707973044287</v>
      </c>
      <c r="E3" s="1">
        <f t="shared" si="0"/>
        <v>6.4862426593609968E-2</v>
      </c>
      <c r="F3" s="1">
        <f t="shared" si="0"/>
        <v>7.0884183220165653E-2</v>
      </c>
      <c r="G3" s="1">
        <f>AVERAGE(C3:F3)</f>
        <v>9.6886196108379785E-2</v>
      </c>
    </row>
    <row r="4" spans="1:14" x14ac:dyDescent="0.25">
      <c r="A4" t="s">
        <v>1</v>
      </c>
      <c r="B4" s="2">
        <v>8723391842.2399998</v>
      </c>
      <c r="C4" s="2">
        <v>9781560771.6399994</v>
      </c>
      <c r="D4" s="2">
        <v>13643040949.950001</v>
      </c>
      <c r="E4" s="2">
        <v>12754954584.5</v>
      </c>
      <c r="F4" s="2">
        <v>13517235117.35</v>
      </c>
    </row>
    <row r="5" spans="1:14" x14ac:dyDescent="0.25">
      <c r="A5" t="s">
        <v>5</v>
      </c>
      <c r="B5" s="1">
        <f>B4/B2</f>
        <v>0.13970566410904758</v>
      </c>
      <c r="C5" s="1">
        <f t="shared" ref="C5:F5" si="1">C4/C2</f>
        <v>0.14037811670425721</v>
      </c>
      <c r="D5" s="1">
        <f t="shared" si="1"/>
        <v>0.17237525596371353</v>
      </c>
      <c r="E5" s="1">
        <f t="shared" si="1"/>
        <v>0.15133840575222382</v>
      </c>
      <c r="F5" s="1">
        <f t="shared" si="1"/>
        <v>0.14976681769915359</v>
      </c>
      <c r="G5" s="3">
        <f>AVERAGE(B5:F5)</f>
        <v>0.15071285204567914</v>
      </c>
    </row>
    <row r="6" spans="1:14" x14ac:dyDescent="0.25">
      <c r="A6" t="s">
        <v>2</v>
      </c>
      <c r="B6" s="2">
        <v>49202382646.720001</v>
      </c>
      <c r="C6" s="2">
        <v>45669918416.410004</v>
      </c>
      <c r="D6" s="2">
        <v>50692296162.019997</v>
      </c>
      <c r="E6" s="2">
        <v>58294248763.230003</v>
      </c>
      <c r="F6" s="2">
        <v>65734909059.07</v>
      </c>
    </row>
    <row r="7" spans="1:14" x14ac:dyDescent="0.25">
      <c r="A7" t="s">
        <v>4</v>
      </c>
      <c r="B7" t="s">
        <v>7</v>
      </c>
      <c r="C7" s="1">
        <f>(C6/B6)-1</f>
        <v>-7.1794576609705785E-2</v>
      </c>
      <c r="D7" s="1">
        <f t="shared" ref="D7:F7" si="2">(D6/C6)-1</f>
        <v>0.10997124408712233</v>
      </c>
      <c r="E7" s="1">
        <f t="shared" si="2"/>
        <v>0.14996268026433546</v>
      </c>
      <c r="F7" s="1">
        <f t="shared" si="2"/>
        <v>0.12763969780383055</v>
      </c>
      <c r="G7" s="3">
        <f>AVERAGE(C7:F7)</f>
        <v>7.894476138639564E-2</v>
      </c>
    </row>
    <row r="8" spans="1:14" x14ac:dyDescent="0.25">
      <c r="A8" t="s">
        <v>3</v>
      </c>
      <c r="B8" s="2">
        <v>4302525869.3500004</v>
      </c>
      <c r="C8" s="2">
        <v>4452289443.4799995</v>
      </c>
      <c r="D8" s="2">
        <v>4938683866.21</v>
      </c>
      <c r="E8" s="2">
        <v>5294249066.1899996</v>
      </c>
      <c r="F8" s="2">
        <v>5254060908.04</v>
      </c>
    </row>
    <row r="9" spans="1:14" x14ac:dyDescent="0.25">
      <c r="A9" t="s">
        <v>6</v>
      </c>
      <c r="B9" s="1">
        <f>B8/B2</f>
        <v>6.890521998717776E-2</v>
      </c>
      <c r="C9" s="1">
        <f t="shared" ref="C9:F9" si="3">C8/C2</f>
        <v>6.3896143129843083E-2</v>
      </c>
      <c r="D9" s="1">
        <f t="shared" si="3"/>
        <v>6.2398617631132379E-2</v>
      </c>
      <c r="E9" s="1">
        <f t="shared" si="3"/>
        <v>6.2816626121589794E-2</v>
      </c>
      <c r="F9" s="1">
        <f t="shared" si="3"/>
        <v>5.8213382793399354E-2</v>
      </c>
      <c r="G9" s="3">
        <f>AVERAGE(B9:F9)</f>
        <v>6.3245997932628487E-2</v>
      </c>
    </row>
    <row r="11" spans="1:14" x14ac:dyDescent="0.25">
      <c r="A11" t="s">
        <v>47</v>
      </c>
      <c r="B11" s="2">
        <v>3078499571</v>
      </c>
      <c r="C11" s="2">
        <v>9786050231</v>
      </c>
      <c r="D11" s="2">
        <v>8178417872.4499998</v>
      </c>
      <c r="E11" s="2">
        <v>9829856448.6299992</v>
      </c>
      <c r="F11" s="2">
        <v>9978871921.6599998</v>
      </c>
    </row>
    <row r="14" spans="1:14" x14ac:dyDescent="0.25">
      <c r="C14" t="s">
        <v>13</v>
      </c>
    </row>
    <row r="15" spans="1:14" x14ac:dyDescent="0.25">
      <c r="B15" t="s">
        <v>12</v>
      </c>
      <c r="C15" s="4">
        <v>46048</v>
      </c>
      <c r="D15" s="4">
        <v>46079</v>
      </c>
      <c r="E15" s="4">
        <v>46107</v>
      </c>
      <c r="F15" s="4">
        <v>46138</v>
      </c>
      <c r="G15" s="4">
        <v>46168</v>
      </c>
      <c r="H15" s="4">
        <v>46199</v>
      </c>
      <c r="I15" s="4">
        <v>46229</v>
      </c>
      <c r="J15" s="4">
        <v>46260</v>
      </c>
      <c r="K15" s="4">
        <v>46291</v>
      </c>
      <c r="L15" s="4">
        <v>46321</v>
      </c>
      <c r="M15" s="4">
        <v>46352</v>
      </c>
      <c r="N15" s="4">
        <v>46382</v>
      </c>
    </row>
    <row r="16" spans="1:14" x14ac:dyDescent="0.25">
      <c r="A16" t="s">
        <v>9</v>
      </c>
      <c r="B16" s="2">
        <f>F2*(1+G3)</f>
        <v>98999690569.351303</v>
      </c>
      <c r="C16" s="2">
        <f>$F$2*(1+($G$3/12))</f>
        <v>90983913867.294266</v>
      </c>
      <c r="D16" s="2">
        <f t="shared" ref="D16:N16" si="4">($B$16-$C$16)/11</f>
        <v>728706972.91427612</v>
      </c>
      <c r="E16" s="2">
        <f t="shared" si="4"/>
        <v>728706972.91427612</v>
      </c>
      <c r="F16" s="2">
        <f t="shared" si="4"/>
        <v>728706972.91427612</v>
      </c>
      <c r="G16" s="2">
        <f t="shared" si="4"/>
        <v>728706972.91427612</v>
      </c>
      <c r="H16" s="2">
        <f t="shared" si="4"/>
        <v>728706972.91427612</v>
      </c>
      <c r="I16" s="2">
        <f t="shared" si="4"/>
        <v>728706972.91427612</v>
      </c>
      <c r="J16" s="2">
        <f t="shared" si="4"/>
        <v>728706972.91427612</v>
      </c>
      <c r="K16" s="2">
        <f t="shared" si="4"/>
        <v>728706972.91427612</v>
      </c>
      <c r="L16" s="2">
        <f t="shared" si="4"/>
        <v>728706972.91427612</v>
      </c>
      <c r="M16" s="2">
        <f t="shared" si="4"/>
        <v>728706972.91427612</v>
      </c>
      <c r="N16" s="2">
        <f t="shared" si="4"/>
        <v>728706972.91427612</v>
      </c>
    </row>
    <row r="17" spans="1:14" x14ac:dyDescent="0.25">
      <c r="A17" t="s">
        <v>10</v>
      </c>
      <c r="B17" s="2">
        <f>F6*(1+G7)</f>
        <v>70924335769.49469</v>
      </c>
      <c r="C17" s="2">
        <f t="shared" ref="C17:N17" si="5">$B$17/12</f>
        <v>5910361314.1245575</v>
      </c>
      <c r="D17" s="2">
        <f t="shared" si="5"/>
        <v>5910361314.1245575</v>
      </c>
      <c r="E17" s="2">
        <f t="shared" si="5"/>
        <v>5910361314.1245575</v>
      </c>
      <c r="F17" s="2">
        <f t="shared" si="5"/>
        <v>5910361314.1245575</v>
      </c>
      <c r="G17" s="2">
        <f t="shared" si="5"/>
        <v>5910361314.1245575</v>
      </c>
      <c r="H17" s="2">
        <f t="shared" si="5"/>
        <v>5910361314.1245575</v>
      </c>
      <c r="I17" s="2">
        <f t="shared" si="5"/>
        <v>5910361314.1245575</v>
      </c>
      <c r="J17" s="2">
        <f t="shared" si="5"/>
        <v>5910361314.1245575</v>
      </c>
      <c r="K17" s="2">
        <f t="shared" si="5"/>
        <v>5910361314.1245575</v>
      </c>
      <c r="L17" s="2">
        <f t="shared" si="5"/>
        <v>5910361314.1245575</v>
      </c>
      <c r="M17" s="2">
        <f t="shared" si="5"/>
        <v>5910361314.1245575</v>
      </c>
      <c r="N17" s="2">
        <f t="shared" si="5"/>
        <v>5910361314.1245575</v>
      </c>
    </row>
    <row r="18" spans="1:14" x14ac:dyDescent="0.25">
      <c r="B18" s="4"/>
    </row>
    <row r="19" spans="1:14" x14ac:dyDescent="0.25">
      <c r="B19" s="4"/>
    </row>
    <row r="20" spans="1:14" x14ac:dyDescent="0.25">
      <c r="B20" s="4"/>
    </row>
    <row r="21" spans="1:14" x14ac:dyDescent="0.25">
      <c r="B21" s="4"/>
    </row>
    <row r="22" spans="1:14" x14ac:dyDescent="0.25">
      <c r="B22" s="4"/>
      <c r="C22">
        <v>9978871921.6599998</v>
      </c>
    </row>
    <row r="23" spans="1:14" x14ac:dyDescent="0.25">
      <c r="B23" s="4"/>
      <c r="C23">
        <v>90255206894.380005</v>
      </c>
      <c r="D23">
        <f>C22/C23</f>
        <v>0.11056283914276155</v>
      </c>
    </row>
    <row r="24" spans="1:14" x14ac:dyDescent="0.25">
      <c r="B2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A2B6-9816-4E81-89CA-8549A98BAF0F}">
  <dimension ref="A1:T58"/>
  <sheetViews>
    <sheetView tabSelected="1" workbookViewId="0">
      <selection sqref="A1:F14"/>
    </sheetView>
  </sheetViews>
  <sheetFormatPr defaultRowHeight="15" x14ac:dyDescent="0.25"/>
  <cols>
    <col min="1" max="1" width="39.85546875" bestFit="1" customWidth="1"/>
    <col min="2" max="2" width="18.42578125" bestFit="1" customWidth="1"/>
    <col min="3" max="6" width="19" bestFit="1" customWidth="1"/>
    <col min="7" max="10" width="17.5703125" bestFit="1" customWidth="1"/>
    <col min="11" max="12" width="16.42578125" bestFit="1" customWidth="1"/>
    <col min="13" max="13" width="19.85546875" bestFit="1" customWidth="1"/>
    <col min="14" max="14" width="18.28515625" bestFit="1" customWidth="1"/>
  </cols>
  <sheetData>
    <row r="1" spans="1:20" x14ac:dyDescent="0.25">
      <c r="A1" t="s">
        <v>50</v>
      </c>
      <c r="B1" t="s">
        <v>51</v>
      </c>
      <c r="C1" t="s">
        <v>52</v>
      </c>
      <c r="D1" t="s">
        <v>53</v>
      </c>
      <c r="E1" t="s">
        <v>54</v>
      </c>
      <c r="F1" t="s">
        <v>55</v>
      </c>
      <c r="G1" s="19" t="s">
        <v>8</v>
      </c>
      <c r="J1" s="25" t="s">
        <v>56</v>
      </c>
      <c r="K1" s="25"/>
      <c r="L1" s="25"/>
      <c r="M1" s="25"/>
      <c r="N1" s="25"/>
      <c r="O1" s="25"/>
    </row>
    <row r="2" spans="1:20" x14ac:dyDescent="0.25">
      <c r="A2" t="s">
        <v>0</v>
      </c>
      <c r="B2" s="2">
        <v>62441218098.580002</v>
      </c>
      <c r="C2" s="2">
        <v>69680096878.970001</v>
      </c>
      <c r="D2" s="2">
        <v>79147328157.25</v>
      </c>
      <c r="E2" s="2">
        <v>84281015919.929993</v>
      </c>
      <c r="F2" s="2">
        <v>90255206894.380005</v>
      </c>
      <c r="H2" s="23">
        <f>Table1[[#This Row],[2025]]*(1+G3)</f>
        <v>98999690569.351303</v>
      </c>
      <c r="I2" s="6">
        <v>1</v>
      </c>
      <c r="J2" s="28" t="s">
        <v>57</v>
      </c>
      <c r="K2" s="28"/>
      <c r="L2" s="28"/>
      <c r="M2" s="28"/>
      <c r="N2" s="28"/>
      <c r="O2" s="28"/>
      <c r="S2" t="s">
        <v>65</v>
      </c>
    </row>
    <row r="3" spans="1:20" ht="15" customHeight="1" x14ac:dyDescent="0.25">
      <c r="A3" t="s">
        <v>4</v>
      </c>
      <c r="B3" t="s">
        <v>7</v>
      </c>
      <c r="C3" s="1">
        <f>(C2/B2)-1</f>
        <v>0.11593109488930065</v>
      </c>
      <c r="D3" s="1">
        <f t="shared" ref="D3:F3" si="0">(D2/C2)-1</f>
        <v>0.13586707973044287</v>
      </c>
      <c r="E3" s="1">
        <f t="shared" si="0"/>
        <v>6.4862426593609968E-2</v>
      </c>
      <c r="F3" s="1">
        <f t="shared" si="0"/>
        <v>7.0884183220165653E-2</v>
      </c>
      <c r="G3" s="20">
        <f>AVERAGE(C3:F3)</f>
        <v>9.6886196108379785E-2</v>
      </c>
      <c r="H3" s="2"/>
      <c r="I3" s="6">
        <v>2</v>
      </c>
      <c r="J3" s="27" t="s">
        <v>58</v>
      </c>
      <c r="K3" s="27"/>
      <c r="L3" s="27"/>
      <c r="M3" s="27"/>
      <c r="N3" s="27"/>
      <c r="O3" s="27"/>
      <c r="T3" t="s">
        <v>66</v>
      </c>
    </row>
    <row r="4" spans="1:20" x14ac:dyDescent="0.25">
      <c r="A4" t="s">
        <v>1</v>
      </c>
      <c r="B4" s="2">
        <v>8723391842.2399998</v>
      </c>
      <c r="C4" s="2">
        <v>9781560771.6399994</v>
      </c>
      <c r="D4" s="2">
        <v>13643040949.950001</v>
      </c>
      <c r="E4" s="2">
        <v>12754954584.5</v>
      </c>
      <c r="F4" s="2">
        <v>13517235117.35</v>
      </c>
      <c r="G4" s="12"/>
      <c r="J4" s="27"/>
      <c r="K4" s="27"/>
      <c r="L4" s="27"/>
      <c r="M4" s="27"/>
      <c r="N4" s="27"/>
      <c r="O4" s="27"/>
      <c r="T4" t="s">
        <v>67</v>
      </c>
    </row>
    <row r="5" spans="1:20" x14ac:dyDescent="0.25">
      <c r="A5" t="s">
        <v>5</v>
      </c>
      <c r="B5" s="1">
        <f>B4/B2</f>
        <v>0.13970566410904758</v>
      </c>
      <c r="C5" s="1">
        <f t="shared" ref="C5:F5" si="1">C4/C2</f>
        <v>0.14037811670425721</v>
      </c>
      <c r="D5" s="1">
        <f t="shared" si="1"/>
        <v>0.17237525596371353</v>
      </c>
      <c r="E5" s="1">
        <f t="shared" si="1"/>
        <v>0.15133840575222382</v>
      </c>
      <c r="F5" s="1">
        <f t="shared" si="1"/>
        <v>0.14976681769915359</v>
      </c>
      <c r="G5" s="21">
        <f>AVERAGE(B5:F5)</f>
        <v>0.15071285204567914</v>
      </c>
      <c r="J5" s="27"/>
      <c r="K5" s="27"/>
      <c r="L5" s="27"/>
      <c r="M5" s="27"/>
      <c r="N5" s="27"/>
      <c r="O5" s="27"/>
      <c r="S5" t="s">
        <v>68</v>
      </c>
    </row>
    <row r="6" spans="1:20" ht="15" customHeight="1" x14ac:dyDescent="0.25">
      <c r="A6" t="s">
        <v>2</v>
      </c>
      <c r="B6" s="2">
        <v>49202382646.720001</v>
      </c>
      <c r="C6" s="2">
        <v>45669918416.410004</v>
      </c>
      <c r="D6" s="2">
        <v>50692296162.019997</v>
      </c>
      <c r="E6" s="2">
        <v>58294248763.230003</v>
      </c>
      <c r="F6" s="2">
        <v>65734909059.07</v>
      </c>
      <c r="H6" s="23"/>
      <c r="I6" s="6">
        <v>3</v>
      </c>
      <c r="J6" s="26" t="s">
        <v>59</v>
      </c>
      <c r="K6" s="26"/>
      <c r="L6" s="26"/>
      <c r="M6" s="26"/>
      <c r="N6" s="26"/>
      <c r="O6" s="26"/>
      <c r="T6" t="s">
        <v>69</v>
      </c>
    </row>
    <row r="7" spans="1:20" x14ac:dyDescent="0.25">
      <c r="A7" t="s">
        <v>4</v>
      </c>
      <c r="B7" t="s">
        <v>7</v>
      </c>
      <c r="C7" s="1">
        <f>(C6/B6)-1</f>
        <v>-7.1794576609705785E-2</v>
      </c>
      <c r="D7" s="1">
        <f t="shared" ref="D7:F7" si="2">(D6/C6)-1</f>
        <v>0.10997124408712233</v>
      </c>
      <c r="E7" s="1">
        <f t="shared" si="2"/>
        <v>0.14996268026433546</v>
      </c>
      <c r="F7" s="1">
        <f t="shared" si="2"/>
        <v>0.12763969780383055</v>
      </c>
      <c r="G7" s="21">
        <f>AVERAGE(C7:F7)</f>
        <v>7.894476138639564E-2</v>
      </c>
      <c r="J7" s="26"/>
      <c r="K7" s="26"/>
      <c r="L7" s="26"/>
      <c r="M7" s="26"/>
      <c r="N7" s="26"/>
      <c r="O7" s="26"/>
      <c r="S7" t="s">
        <v>70</v>
      </c>
    </row>
    <row r="8" spans="1:20" x14ac:dyDescent="0.25">
      <c r="A8" t="s">
        <v>3</v>
      </c>
      <c r="B8" s="2">
        <v>4302525869.3500004</v>
      </c>
      <c r="C8" s="2">
        <v>4452289443.4799995</v>
      </c>
      <c r="D8" s="2">
        <v>4938683866.21</v>
      </c>
      <c r="E8" s="2">
        <v>5294249066.1899996</v>
      </c>
      <c r="F8" s="2">
        <v>5254060908.04</v>
      </c>
      <c r="G8" s="19"/>
      <c r="I8" s="22"/>
      <c r="J8" s="22"/>
      <c r="K8" s="22"/>
      <c r="L8" s="22"/>
      <c r="M8" s="22"/>
      <c r="N8" s="22"/>
      <c r="T8" t="s">
        <v>69</v>
      </c>
    </row>
    <row r="9" spans="1:20" x14ac:dyDescent="0.25">
      <c r="A9" t="s">
        <v>6</v>
      </c>
      <c r="B9" s="1">
        <f>B8/B2</f>
        <v>6.890521998717776E-2</v>
      </c>
      <c r="C9" s="1">
        <f t="shared" ref="C9:F9" si="3">C8/C2</f>
        <v>6.3896143129843083E-2</v>
      </c>
      <c r="D9" s="1">
        <f t="shared" si="3"/>
        <v>6.2398617631132379E-2</v>
      </c>
      <c r="E9" s="1">
        <f t="shared" si="3"/>
        <v>6.2816626121589794E-2</v>
      </c>
      <c r="F9" s="1">
        <f t="shared" si="3"/>
        <v>5.8213382793399354E-2</v>
      </c>
      <c r="G9" s="21">
        <f>AVERAGE(B9:F9)</f>
        <v>6.3245997932628487E-2</v>
      </c>
      <c r="S9" t="s">
        <v>71</v>
      </c>
    </row>
    <row r="10" spans="1:20" x14ac:dyDescent="0.25">
      <c r="A10" t="s">
        <v>47</v>
      </c>
      <c r="B10" s="2">
        <v>3078499571</v>
      </c>
      <c r="C10" s="2">
        <v>9786050231</v>
      </c>
      <c r="D10" s="2">
        <v>8178417872.4499998</v>
      </c>
      <c r="E10" s="2">
        <v>9829856448.6299992</v>
      </c>
      <c r="F10" s="2">
        <v>9978871921.6599998</v>
      </c>
      <c r="H10" s="2"/>
      <c r="T10" t="s">
        <v>69</v>
      </c>
    </row>
    <row r="11" spans="1:20" ht="15" customHeight="1" x14ac:dyDescent="0.25">
      <c r="A11" t="s">
        <v>64</v>
      </c>
      <c r="B11" s="1">
        <f>B10/B2</f>
        <v>4.9302362521816488E-2</v>
      </c>
      <c r="C11" s="1">
        <f>C10/C2</f>
        <v>0.14044254628402369</v>
      </c>
      <c r="D11" s="1">
        <f>D10/D2</f>
        <v>0.10333157243414598</v>
      </c>
      <c r="E11" s="1">
        <f>E10/E2</f>
        <v>0.11663191694282278</v>
      </c>
      <c r="F11" s="1">
        <f>F10/F2</f>
        <v>0.11056283914276155</v>
      </c>
      <c r="H11" s="2"/>
    </row>
    <row r="12" spans="1:20" x14ac:dyDescent="0.25">
      <c r="A12" t="s">
        <v>76</v>
      </c>
      <c r="B12" s="24">
        <v>8496951934</v>
      </c>
      <c r="C12" s="24">
        <v>10957656219</v>
      </c>
      <c r="D12" s="24">
        <v>11517904312.09</v>
      </c>
      <c r="E12" s="24">
        <v>12889708722.120001</v>
      </c>
      <c r="F12" s="24">
        <v>12583277072.24</v>
      </c>
      <c r="S12" t="s">
        <v>72</v>
      </c>
    </row>
    <row r="13" spans="1:20" x14ac:dyDescent="0.25">
      <c r="A13" t="s">
        <v>4</v>
      </c>
      <c r="B13" t="s">
        <v>7</v>
      </c>
      <c r="C13" s="1">
        <f>(C12/B12)-1</f>
        <v>0.28959847061787558</v>
      </c>
      <c r="D13" s="1">
        <f>(D12/C12)-1</f>
        <v>5.1128460493089722E-2</v>
      </c>
      <c r="E13" s="1">
        <f t="shared" ref="E13:F13" si="4">(E12/D12)-1</f>
        <v>0.11910191063056996</v>
      </c>
      <c r="F13" s="1">
        <f t="shared" si="4"/>
        <v>-2.3773357217462543E-2</v>
      </c>
      <c r="G13" s="20">
        <f>AVERAGE(Table1[[#This Row],[2022]:[2025]])</f>
        <v>0.10901387113101818</v>
      </c>
      <c r="H13" s="2"/>
      <c r="J13" s="2"/>
      <c r="S13">
        <v>1</v>
      </c>
      <c r="T13" t="s">
        <v>73</v>
      </c>
    </row>
    <row r="14" spans="1:20" x14ac:dyDescent="0.25">
      <c r="A14" t="s">
        <v>86</v>
      </c>
      <c r="C14" s="1"/>
      <c r="D14" s="1"/>
      <c r="E14" s="1"/>
      <c r="F14" s="2">
        <v>35890000</v>
      </c>
      <c r="H14" s="2"/>
      <c r="J14" s="2"/>
    </row>
    <row r="15" spans="1:20" x14ac:dyDescent="0.25">
      <c r="B15" s="2">
        <f>B2-B4-B6-B8+B12</f>
        <v>8709869674.2700024</v>
      </c>
      <c r="C15" s="2"/>
      <c r="D15" s="2"/>
      <c r="E15" s="2"/>
      <c r="F15" s="3">
        <f>F14/F2</f>
        <v>3.9765018811601429E-4</v>
      </c>
      <c r="H15" s="2">
        <f>H2*F15</f>
        <v>39367245.578329749</v>
      </c>
      <c r="J15" s="2"/>
    </row>
    <row r="16" spans="1:20" x14ac:dyDescent="0.25">
      <c r="A16" t="s">
        <v>74</v>
      </c>
      <c r="B16" s="2">
        <f>B2-B4-B6-B8</f>
        <v>212917740.27000237</v>
      </c>
      <c r="C16" s="2">
        <f>C2-C4-C6-C8</f>
        <v>9776328247.4399986</v>
      </c>
      <c r="D16" s="2">
        <f>D2-D4-D6-D8</f>
        <v>9873307179.0700073</v>
      </c>
      <c r="E16" s="2">
        <f>E2-E4-E6-E8</f>
        <v>7937563506.0099897</v>
      </c>
      <c r="F16" s="2">
        <f>F2-F4-F6-F8</f>
        <v>5749001809.9199991</v>
      </c>
      <c r="H16" s="2" t="s">
        <v>87</v>
      </c>
      <c r="I16" s="2">
        <f>H2-H15</f>
        <v>98960323323.77298</v>
      </c>
      <c r="J16" s="2"/>
    </row>
    <row r="17" spans="1:20" x14ac:dyDescent="0.25">
      <c r="A17" t="s">
        <v>75</v>
      </c>
      <c r="B17" s="2"/>
      <c r="C17" s="2"/>
      <c r="D17" s="2"/>
      <c r="E17" s="2"/>
      <c r="F17" s="2"/>
      <c r="H17" s="2"/>
      <c r="J17" s="2"/>
    </row>
    <row r="18" spans="1:20" x14ac:dyDescent="0.25">
      <c r="S18">
        <v>2</v>
      </c>
    </row>
    <row r="19" spans="1:20" x14ac:dyDescent="0.25">
      <c r="C19" t="s">
        <v>13</v>
      </c>
      <c r="O19" s="16"/>
    </row>
    <row r="20" spans="1:20" x14ac:dyDescent="0.25">
      <c r="B20" t="s">
        <v>12</v>
      </c>
      <c r="C20" s="16">
        <v>46023</v>
      </c>
      <c r="D20" s="16">
        <v>46054</v>
      </c>
      <c r="E20" s="16">
        <v>46082</v>
      </c>
      <c r="F20" s="16">
        <v>46113</v>
      </c>
      <c r="G20" s="16">
        <v>46143</v>
      </c>
      <c r="H20" s="16">
        <v>46174</v>
      </c>
      <c r="I20" s="16">
        <v>46204</v>
      </c>
      <c r="J20" s="16">
        <v>46235</v>
      </c>
      <c r="K20" s="16">
        <v>46266</v>
      </c>
      <c r="L20" s="16">
        <v>46296</v>
      </c>
      <c r="M20" s="16">
        <v>46327</v>
      </c>
      <c r="N20" s="16">
        <v>46357</v>
      </c>
    </row>
    <row r="21" spans="1:20" x14ac:dyDescent="0.25">
      <c r="A21" t="s">
        <v>9</v>
      </c>
      <c r="B21" s="2">
        <f>F2*(1+G3)</f>
        <v>98999690569.351303</v>
      </c>
      <c r="C21" s="2">
        <f>$F$2*(1+($G$3/12))</f>
        <v>90983913867.294266</v>
      </c>
      <c r="D21" s="2">
        <f t="shared" ref="D21:N21" si="5">($B$21-$C$21)/11</f>
        <v>728706972.91427612</v>
      </c>
      <c r="E21" s="2">
        <f t="shared" si="5"/>
        <v>728706972.91427612</v>
      </c>
      <c r="F21" s="2">
        <f t="shared" si="5"/>
        <v>728706972.91427612</v>
      </c>
      <c r="G21" s="2">
        <f t="shared" si="5"/>
        <v>728706972.91427612</v>
      </c>
      <c r="H21" s="2">
        <f t="shared" si="5"/>
        <v>728706972.91427612</v>
      </c>
      <c r="I21" s="2">
        <f t="shared" si="5"/>
        <v>728706972.91427612</v>
      </c>
      <c r="J21" s="2">
        <f t="shared" si="5"/>
        <v>728706972.91427612</v>
      </c>
      <c r="K21" s="2">
        <f t="shared" si="5"/>
        <v>728706972.91427612</v>
      </c>
      <c r="L21" s="2">
        <f t="shared" si="5"/>
        <v>728706972.91427612</v>
      </c>
      <c r="M21" s="2">
        <f t="shared" si="5"/>
        <v>728706972.91427612</v>
      </c>
      <c r="N21" s="2">
        <f t="shared" si="5"/>
        <v>728706972.91427612</v>
      </c>
    </row>
    <row r="22" spans="1:20" x14ac:dyDescent="0.25">
      <c r="A22" t="s">
        <v>10</v>
      </c>
      <c r="B22" s="2">
        <f>F6*(1+G7)</f>
        <v>70924335769.49469</v>
      </c>
      <c r="C22" s="2">
        <f t="shared" ref="C22:N22" si="6">$B$22/12</f>
        <v>5910361314.1245575</v>
      </c>
      <c r="D22" s="2">
        <f t="shared" si="6"/>
        <v>5910361314.1245575</v>
      </c>
      <c r="E22" s="2">
        <f t="shared" si="6"/>
        <v>5910361314.1245575</v>
      </c>
      <c r="F22" s="2">
        <f t="shared" si="6"/>
        <v>5910361314.1245575</v>
      </c>
      <c r="G22" s="2">
        <f t="shared" si="6"/>
        <v>5910361314.1245575</v>
      </c>
      <c r="H22" s="2">
        <f t="shared" si="6"/>
        <v>5910361314.1245575</v>
      </c>
      <c r="I22" s="2">
        <f t="shared" si="6"/>
        <v>5910361314.1245575</v>
      </c>
      <c r="J22" s="2">
        <f t="shared" si="6"/>
        <v>5910361314.1245575</v>
      </c>
      <c r="K22" s="2">
        <f t="shared" si="6"/>
        <v>5910361314.1245575</v>
      </c>
      <c r="L22" s="2">
        <f t="shared" si="6"/>
        <v>5910361314.1245575</v>
      </c>
      <c r="M22" s="2">
        <f t="shared" si="6"/>
        <v>5910361314.1245575</v>
      </c>
      <c r="N22" s="2">
        <f t="shared" si="6"/>
        <v>5910361314.1245575</v>
      </c>
    </row>
    <row r="23" spans="1:20" x14ac:dyDescent="0.25">
      <c r="A23" t="s">
        <v>77</v>
      </c>
      <c r="B23" s="2">
        <f>F12*(1+G13)</f>
        <v>13955028817.399067</v>
      </c>
      <c r="C23" s="2"/>
      <c r="D23" s="2"/>
      <c r="E23" s="2"/>
      <c r="F23" s="2"/>
      <c r="G23" s="2"/>
      <c r="H23" s="2"/>
      <c r="I23" s="2"/>
      <c r="J23" s="2"/>
      <c r="K23" s="2"/>
      <c r="L23" s="2"/>
      <c r="M23" s="2"/>
      <c r="N23" s="2"/>
    </row>
    <row r="25" spans="1:20" x14ac:dyDescent="0.25">
      <c r="A25" s="5" t="s">
        <v>14</v>
      </c>
      <c r="B25" s="9">
        <v>0.27</v>
      </c>
      <c r="C25" t="s">
        <v>15</v>
      </c>
    </row>
    <row r="26" spans="1:20" x14ac:dyDescent="0.25">
      <c r="A26" s="5" t="s">
        <v>16</v>
      </c>
      <c r="B26" s="18">
        <f>ROUND(DATOS!$G$9, 6)</f>
        <v>6.3245999999999997E-2</v>
      </c>
      <c r="C26" t="s">
        <v>17</v>
      </c>
      <c r="G26">
        <v>2025</v>
      </c>
      <c r="I26">
        <v>2026</v>
      </c>
    </row>
    <row r="27" spans="1:20" x14ac:dyDescent="0.25">
      <c r="A27" s="5" t="s">
        <v>18</v>
      </c>
      <c r="B27" s="9">
        <v>0.02</v>
      </c>
      <c r="C27" s="29" t="s">
        <v>19</v>
      </c>
      <c r="F27" s="2">
        <v>12000000000</v>
      </c>
      <c r="G27" s="2">
        <v>12500000000</v>
      </c>
      <c r="I27" s="2">
        <f>G27*(1+H28)</f>
        <v>13125000000</v>
      </c>
    </row>
    <row r="28" spans="1:20" x14ac:dyDescent="0.25">
      <c r="A28" s="5" t="s">
        <v>20</v>
      </c>
      <c r="B28" s="18">
        <f>ROUND((DATOS!$G$5-$B$27)/2, 6)</f>
        <v>6.5355999999999997E-2</v>
      </c>
      <c r="C28" s="29"/>
      <c r="H28" s="33">
        <v>0.05</v>
      </c>
    </row>
    <row r="29" spans="1:20" x14ac:dyDescent="0.25">
      <c r="A29" s="5" t="s">
        <v>21</v>
      </c>
      <c r="B29" s="18">
        <f>ROUND((DATOS!$G$5-$B$27)/2, 6)</f>
        <v>6.5355999999999997E-2</v>
      </c>
      <c r="C29" s="29"/>
      <c r="P29" s="25" t="s">
        <v>46</v>
      </c>
      <c r="Q29" s="25"/>
      <c r="R29" s="25"/>
      <c r="S29" s="25"/>
      <c r="T29" s="25"/>
    </row>
    <row r="30" spans="1:20" ht="15" customHeight="1" x14ac:dyDescent="0.25">
      <c r="A30" s="5" t="s">
        <v>22</v>
      </c>
      <c r="B30" s="9">
        <v>0.16</v>
      </c>
      <c r="O30">
        <v>1</v>
      </c>
      <c r="P30" s="26" t="s">
        <v>60</v>
      </c>
      <c r="Q30" s="26"/>
      <c r="R30" s="26"/>
      <c r="S30" s="26"/>
      <c r="T30" s="26"/>
    </row>
    <row r="31" spans="1:20" x14ac:dyDescent="0.25">
      <c r="A31" s="5" t="s">
        <v>23</v>
      </c>
      <c r="B31" s="9">
        <v>0.04</v>
      </c>
      <c r="P31" s="26"/>
      <c r="Q31" s="26"/>
      <c r="R31" s="26"/>
      <c r="S31" s="26"/>
      <c r="T31" s="26"/>
    </row>
    <row r="32" spans="1:20" ht="15" customHeight="1" x14ac:dyDescent="0.25">
      <c r="A32" s="5" t="s">
        <v>24</v>
      </c>
      <c r="B32" s="9">
        <v>0.02</v>
      </c>
      <c r="O32">
        <v>2</v>
      </c>
      <c r="P32" s="27" t="s">
        <v>61</v>
      </c>
      <c r="Q32" s="27"/>
      <c r="R32" s="27"/>
      <c r="S32" s="27"/>
      <c r="T32" s="27"/>
    </row>
    <row r="33" spans="1:20" x14ac:dyDescent="0.25">
      <c r="A33" s="5" t="s">
        <v>25</v>
      </c>
      <c r="B33" s="9">
        <v>0.35</v>
      </c>
      <c r="P33" s="27"/>
      <c r="Q33" s="27"/>
      <c r="R33" s="27"/>
      <c r="S33" s="27"/>
      <c r="T33" s="27"/>
    </row>
    <row r="34" spans="1:20" ht="15" customHeight="1" x14ac:dyDescent="0.25">
      <c r="O34">
        <v>3</v>
      </c>
      <c r="P34" s="26" t="s">
        <v>62</v>
      </c>
      <c r="Q34" s="26"/>
      <c r="R34" s="26"/>
      <c r="S34" s="26"/>
      <c r="T34" s="26"/>
    </row>
    <row r="35" spans="1:20" x14ac:dyDescent="0.25">
      <c r="A35" s="5" t="s">
        <v>27</v>
      </c>
      <c r="B35" s="8">
        <f>(1+F35)/(1+B31)-1</f>
        <v>3.067307692307697E-2</v>
      </c>
      <c r="C35" t="s">
        <v>28</v>
      </c>
      <c r="E35" t="s">
        <v>29</v>
      </c>
      <c r="F35" s="1">
        <v>7.1900000000000006E-2</v>
      </c>
      <c r="G35" t="s">
        <v>30</v>
      </c>
      <c r="P35" s="26"/>
      <c r="Q35" s="26"/>
      <c r="R35" s="26"/>
      <c r="S35" s="26"/>
      <c r="T35" s="26"/>
    </row>
    <row r="36" spans="1:20" ht="15" customHeight="1" x14ac:dyDescent="0.25">
      <c r="O36">
        <v>3.1</v>
      </c>
      <c r="P36" s="27" t="s">
        <v>63</v>
      </c>
      <c r="Q36" s="27"/>
      <c r="R36" s="27"/>
      <c r="S36" s="27"/>
      <c r="T36" s="27"/>
    </row>
    <row r="37" spans="1:20" ht="23.25" x14ac:dyDescent="0.35">
      <c r="A37" s="7" t="s">
        <v>26</v>
      </c>
      <c r="P37" s="27"/>
      <c r="Q37" s="27"/>
      <c r="R37" s="27"/>
      <c r="S37" s="27"/>
      <c r="T37" s="27"/>
    </row>
    <row r="38" spans="1:20" x14ac:dyDescent="0.25">
      <c r="P38" s="27"/>
      <c r="Q38" s="27"/>
      <c r="R38" s="27"/>
      <c r="S38" s="27"/>
      <c r="T38" s="27"/>
    </row>
    <row r="39" spans="1:20" x14ac:dyDescent="0.25">
      <c r="A39" s="10" t="s">
        <v>31</v>
      </c>
      <c r="B39" s="11" t="s">
        <v>32</v>
      </c>
      <c r="D39" s="10" t="s">
        <v>44</v>
      </c>
      <c r="E39" s="14">
        <v>0.5</v>
      </c>
      <c r="M39" t="s">
        <v>49</v>
      </c>
      <c r="P39" s="27"/>
      <c r="Q39" s="27"/>
      <c r="R39" s="27"/>
      <c r="S39" s="27"/>
      <c r="T39" s="27"/>
    </row>
    <row r="40" spans="1:20" x14ac:dyDescent="0.25">
      <c r="P40" s="27"/>
      <c r="Q40" s="27"/>
      <c r="R40" s="27"/>
      <c r="S40" s="27"/>
      <c r="T40" s="27"/>
    </row>
    <row r="41" spans="1:20" x14ac:dyDescent="0.25">
      <c r="A41" s="13" t="s">
        <v>38</v>
      </c>
      <c r="B41" s="16">
        <v>46023</v>
      </c>
      <c r="C41" s="16">
        <v>46054</v>
      </c>
      <c r="D41" s="16">
        <v>46082</v>
      </c>
      <c r="E41" s="16">
        <v>46113</v>
      </c>
      <c r="F41" s="16">
        <v>46143</v>
      </c>
      <c r="G41" s="16">
        <v>46174</v>
      </c>
      <c r="H41" s="16">
        <v>46204</v>
      </c>
      <c r="I41" s="16">
        <v>46235</v>
      </c>
      <c r="J41" s="16">
        <v>46266</v>
      </c>
      <c r="K41" s="16">
        <v>46296</v>
      </c>
      <c r="L41" s="16">
        <v>46327</v>
      </c>
      <c r="M41" s="16">
        <v>46357</v>
      </c>
      <c r="N41" s="16">
        <v>46388</v>
      </c>
      <c r="P41" s="27"/>
      <c r="Q41" s="27"/>
      <c r="R41" s="27"/>
      <c r="S41" s="27"/>
      <c r="T41" s="27"/>
    </row>
    <row r="42" spans="1:20" x14ac:dyDescent="0.25">
      <c r="P42" s="27"/>
      <c r="Q42" s="27"/>
      <c r="R42" s="27"/>
      <c r="S42" s="27"/>
      <c r="T42" s="27"/>
    </row>
    <row r="43" spans="1:20" x14ac:dyDescent="0.25">
      <c r="A43" s="10" t="s">
        <v>33</v>
      </c>
      <c r="P43" s="27"/>
      <c r="Q43" s="27"/>
      <c r="R43" s="27"/>
      <c r="S43" s="27"/>
      <c r="T43" s="27"/>
    </row>
    <row r="44" spans="1:20" x14ac:dyDescent="0.25">
      <c r="A44" s="11" t="s">
        <v>34</v>
      </c>
      <c r="B44" s="2">
        <v>90983913867.294266</v>
      </c>
      <c r="C44" s="2">
        <v>728706972.914276</v>
      </c>
      <c r="D44" s="2">
        <v>728706972.91427612</v>
      </c>
      <c r="E44" s="2">
        <v>728706972.91427612</v>
      </c>
      <c r="F44" s="2">
        <v>728706972.91427612</v>
      </c>
      <c r="G44" s="2">
        <v>728706972.91427612</v>
      </c>
      <c r="H44" s="2">
        <v>728706972.91427612</v>
      </c>
      <c r="I44" s="2">
        <v>728706972.91427612</v>
      </c>
      <c r="J44" s="2">
        <v>728706972.91427612</v>
      </c>
      <c r="K44" s="2">
        <v>728706972.91427612</v>
      </c>
      <c r="L44" s="2">
        <v>728706972.91427612</v>
      </c>
      <c r="M44" s="2">
        <v>728706972.91427612</v>
      </c>
      <c r="N44" s="2"/>
    </row>
    <row r="45" spans="1:20" x14ac:dyDescent="0.25">
      <c r="A45" s="11" t="s">
        <v>35</v>
      </c>
      <c r="B45" s="2">
        <f>B44</f>
        <v>90983913867.294266</v>
      </c>
      <c r="C45" s="2">
        <f>B45+C44+C46+C47-SUM(B50:B54)</f>
        <v>50074700311.286392</v>
      </c>
      <c r="D45" s="2">
        <f>C45+D44+D46+D47-SUM(C50:C54)</f>
        <v>44669963742.380257</v>
      </c>
      <c r="E45" s="2">
        <f t="shared" ref="E45:K45" si="7">D45+E44+E46+E47-SUM(D50:D54)</f>
        <v>39258319677.618828</v>
      </c>
      <c r="F45" s="2">
        <f t="shared" si="7"/>
        <v>33839759288.912453</v>
      </c>
      <c r="G45" s="2">
        <f t="shared" si="7"/>
        <v>28414273736.888779</v>
      </c>
      <c r="H45" s="2">
        <f t="shared" si="7"/>
        <v>22981854170.878342</v>
      </c>
      <c r="I45" s="2">
        <f t="shared" si="7"/>
        <v>17542491728.900124</v>
      </c>
      <c r="J45" s="2">
        <f t="shared" si="7"/>
        <v>12096177537.647104</v>
      </c>
      <c r="K45" s="2">
        <f t="shared" si="7"/>
        <v>6642902712.4717712</v>
      </c>
      <c r="L45" s="2">
        <f>K45+L44+L46+L47-SUM(K50:K54)</f>
        <v>1182658357.3716345</v>
      </c>
      <c r="M45" s="2">
        <f>L45+M44+M46+M47-SUM(L50:L54)</f>
        <v>-4284564435.0252852</v>
      </c>
      <c r="N45" s="2"/>
    </row>
    <row r="46" spans="1:20" x14ac:dyDescent="0.25">
      <c r="A46" s="11" t="s">
        <v>36</v>
      </c>
      <c r="B46" s="2">
        <v>0</v>
      </c>
      <c r="C46" s="2">
        <f t="shared" ref="C46:N46" si="8">IF(B45&gt;0, B45*$E$39*($B$35/12), 0)</f>
        <v>116281524.53392194</v>
      </c>
      <c r="D46" s="2">
        <f t="shared" si="8"/>
        <v>63997713.939504743</v>
      </c>
      <c r="E46" s="2">
        <f t="shared" si="8"/>
        <v>57090218.084212035</v>
      </c>
      <c r="F46" s="2">
        <f t="shared" si="8"/>
        <v>50173894.139264524</v>
      </c>
      <c r="G46" s="2">
        <f t="shared" si="8"/>
        <v>43248730.821967505</v>
      </c>
      <c r="H46" s="2">
        <f t="shared" si="8"/>
        <v>36314716.835206471</v>
      </c>
      <c r="I46" s="2">
        <f t="shared" si="8"/>
        <v>29371840.867428698</v>
      </c>
      <c r="J46" s="2">
        <f t="shared" si="8"/>
        <v>22420091.592624791</v>
      </c>
      <c r="K46" s="2">
        <f t="shared" si="8"/>
        <v>15459457.670310225</v>
      </c>
      <c r="L46" s="2">
        <f t="shared" si="8"/>
        <v>8489927.7455068044</v>
      </c>
      <c r="M46" s="2">
        <f t="shared" si="8"/>
        <v>1511490.4487241667</v>
      </c>
      <c r="N46" s="2">
        <f t="shared" si="8"/>
        <v>0</v>
      </c>
    </row>
    <row r="47" spans="1:20" x14ac:dyDescent="0.25">
      <c r="A47" s="11" t="s">
        <v>37</v>
      </c>
      <c r="B47" s="2">
        <v>0</v>
      </c>
      <c r="C47" s="2">
        <v>0</v>
      </c>
      <c r="D47" s="2">
        <v>0</v>
      </c>
      <c r="E47" s="2">
        <v>0</v>
      </c>
      <c r="F47" s="2">
        <v>0</v>
      </c>
      <c r="G47" s="2">
        <v>0</v>
      </c>
      <c r="H47" s="2">
        <v>0</v>
      </c>
      <c r="I47" s="2">
        <v>0</v>
      </c>
      <c r="J47" s="2">
        <v>0</v>
      </c>
      <c r="K47" s="2">
        <v>0</v>
      </c>
      <c r="L47" s="2">
        <v>0</v>
      </c>
      <c r="M47" s="2">
        <v>0</v>
      </c>
      <c r="N47" s="2">
        <v>0</v>
      </c>
    </row>
    <row r="49" spans="1:14" x14ac:dyDescent="0.25">
      <c r="A49" s="10" t="s">
        <v>39</v>
      </c>
    </row>
    <row r="50" spans="1:14" x14ac:dyDescent="0.25">
      <c r="A50" s="11" t="s">
        <v>11</v>
      </c>
      <c r="B50" s="2">
        <v>5910361314.1245575</v>
      </c>
      <c r="C50" s="2">
        <v>5910361314.1245575</v>
      </c>
      <c r="D50" s="2">
        <v>5910361314.1245575</v>
      </c>
      <c r="E50" s="2">
        <v>5910361314.1245575</v>
      </c>
      <c r="F50" s="2">
        <v>5910361314.1245575</v>
      </c>
      <c r="G50" s="2">
        <v>5910361314.1245575</v>
      </c>
      <c r="H50" s="2">
        <v>5910361314.1245575</v>
      </c>
      <c r="I50" s="2">
        <v>5910361314.1245575</v>
      </c>
      <c r="J50" s="2">
        <v>5910361314.1245575</v>
      </c>
      <c r="K50" s="2">
        <v>5910361314.1245575</v>
      </c>
      <c r="L50" s="2">
        <v>5910361314.1245575</v>
      </c>
      <c r="M50" s="2">
        <v>5910361314.1245575</v>
      </c>
      <c r="N50" s="2"/>
    </row>
    <row r="51" spans="1:14" x14ac:dyDescent="0.25">
      <c r="A51" s="11" t="s">
        <v>24</v>
      </c>
      <c r="B51" s="2">
        <f t="shared" ref="B51:M51" si="9">B44*$B$32</f>
        <v>1819678277.3458853</v>
      </c>
      <c r="C51" s="2">
        <f t="shared" si="9"/>
        <v>14574139.45828552</v>
      </c>
      <c r="D51" s="2">
        <f t="shared" si="9"/>
        <v>14574139.458285524</v>
      </c>
      <c r="E51" s="2">
        <f t="shared" si="9"/>
        <v>14574139.458285524</v>
      </c>
      <c r="F51" s="2">
        <f t="shared" si="9"/>
        <v>14574139.458285524</v>
      </c>
      <c r="G51" s="2">
        <f t="shared" si="9"/>
        <v>14574139.458285524</v>
      </c>
      <c r="H51" s="2">
        <f t="shared" si="9"/>
        <v>14574139.458285524</v>
      </c>
      <c r="I51" s="2">
        <f t="shared" si="9"/>
        <v>14574139.458285524</v>
      </c>
      <c r="J51" s="2">
        <f t="shared" si="9"/>
        <v>14574139.458285524</v>
      </c>
      <c r="K51" s="2">
        <f t="shared" si="9"/>
        <v>14574139.458285524</v>
      </c>
      <c r="L51" s="2">
        <f t="shared" si="9"/>
        <v>14574139.458285524</v>
      </c>
      <c r="M51" s="2">
        <f t="shared" si="9"/>
        <v>14574139.458285524</v>
      </c>
      <c r="N51" s="2"/>
    </row>
    <row r="52" spans="1:14" x14ac:dyDescent="0.25">
      <c r="A52" s="11" t="s">
        <v>40</v>
      </c>
      <c r="B52" s="2">
        <f t="shared" ref="B52:M52" si="10">B44*$B$26</f>
        <v>5754368616.4508924</v>
      </c>
      <c r="C52" s="2">
        <f t="shared" si="10"/>
        <v>46087801.208936296</v>
      </c>
      <c r="D52" s="2">
        <f t="shared" si="10"/>
        <v>46087801.208936304</v>
      </c>
      <c r="E52" s="2">
        <f t="shared" si="10"/>
        <v>46087801.208936304</v>
      </c>
      <c r="F52" s="2">
        <f t="shared" si="10"/>
        <v>46087801.208936304</v>
      </c>
      <c r="G52" s="2">
        <f t="shared" si="10"/>
        <v>46087801.208936304</v>
      </c>
      <c r="H52" s="2">
        <f t="shared" si="10"/>
        <v>46087801.208936304</v>
      </c>
      <c r="I52" s="2">
        <f t="shared" si="10"/>
        <v>46087801.208936304</v>
      </c>
      <c r="J52" s="2">
        <f t="shared" si="10"/>
        <v>46087801.208936304</v>
      </c>
      <c r="K52" s="2">
        <f t="shared" si="10"/>
        <v>46087801.208936304</v>
      </c>
      <c r="L52" s="2">
        <f t="shared" si="10"/>
        <v>46087801.208936304</v>
      </c>
      <c r="M52" s="2">
        <f t="shared" si="10"/>
        <v>46087801.208936304</v>
      </c>
      <c r="N52" s="2"/>
    </row>
    <row r="53" spans="1:14" x14ac:dyDescent="0.25">
      <c r="A53" s="11" t="s">
        <v>41</v>
      </c>
      <c r="B53" s="2">
        <f t="shared" ref="B53:M53" si="11">B44*SUM($B$27:$B$29)</f>
        <v>13712367626.767654</v>
      </c>
      <c r="C53" s="2">
        <f t="shared" si="11"/>
        <v>109824885.30185637</v>
      </c>
      <c r="D53" s="2">
        <f t="shared" si="11"/>
        <v>109824885.3018564</v>
      </c>
      <c r="E53" s="2">
        <f t="shared" si="11"/>
        <v>109824885.3018564</v>
      </c>
      <c r="F53" s="2">
        <f t="shared" si="11"/>
        <v>109824885.3018564</v>
      </c>
      <c r="G53" s="2">
        <f t="shared" si="11"/>
        <v>109824885.3018564</v>
      </c>
      <c r="H53" s="2">
        <f t="shared" si="11"/>
        <v>109824885.3018564</v>
      </c>
      <c r="I53" s="2">
        <f t="shared" si="11"/>
        <v>109824885.3018564</v>
      </c>
      <c r="J53" s="2">
        <f t="shared" si="11"/>
        <v>109824885.3018564</v>
      </c>
      <c r="K53" s="2">
        <f t="shared" si="11"/>
        <v>109824885.3018564</v>
      </c>
      <c r="L53" s="2">
        <f t="shared" si="11"/>
        <v>109824885.3018564</v>
      </c>
      <c r="M53" s="2">
        <f t="shared" si="11"/>
        <v>109824885.3018564</v>
      </c>
      <c r="N53" s="2"/>
    </row>
    <row r="54" spans="1:14" x14ac:dyDescent="0.25">
      <c r="A54" s="11" t="s">
        <v>42</v>
      </c>
      <c r="B54" s="2">
        <f t="shared" ref="B54:M54" si="12">B44*$B$30</f>
        <v>14557426218.767082</v>
      </c>
      <c r="C54" s="2">
        <f t="shared" si="12"/>
        <v>116593115.66628416</v>
      </c>
      <c r="D54" s="2">
        <f t="shared" si="12"/>
        <v>116593115.66628419</v>
      </c>
      <c r="E54" s="2">
        <f t="shared" si="12"/>
        <v>116593115.66628419</v>
      </c>
      <c r="F54" s="2">
        <f t="shared" si="12"/>
        <v>116593115.66628419</v>
      </c>
      <c r="G54" s="2">
        <f t="shared" si="12"/>
        <v>116593115.66628419</v>
      </c>
      <c r="H54" s="2">
        <f t="shared" si="12"/>
        <v>116593115.66628419</v>
      </c>
      <c r="I54" s="2">
        <f t="shared" si="12"/>
        <v>116593115.66628419</v>
      </c>
      <c r="J54" s="2">
        <f t="shared" si="12"/>
        <v>116593115.66628419</v>
      </c>
      <c r="K54" s="2">
        <f t="shared" si="12"/>
        <v>116593115.66628419</v>
      </c>
      <c r="L54" s="2">
        <f t="shared" si="12"/>
        <v>116593115.66628419</v>
      </c>
      <c r="M54" s="2">
        <f t="shared" si="12"/>
        <v>116593115.66628419</v>
      </c>
      <c r="N54" s="2"/>
    </row>
    <row r="55" spans="1:14" x14ac:dyDescent="0.25">
      <c r="B55" s="2"/>
      <c r="C55" s="2"/>
      <c r="D55" s="2"/>
      <c r="E55" s="2"/>
      <c r="F55" s="2"/>
      <c r="G55" s="2"/>
      <c r="H55" s="2"/>
      <c r="I55" s="2"/>
      <c r="J55" s="2"/>
      <c r="K55" s="2"/>
      <c r="L55" s="2"/>
      <c r="M55" s="2"/>
    </row>
    <row r="56" spans="1:14" x14ac:dyDescent="0.25">
      <c r="A56" s="10" t="s">
        <v>45</v>
      </c>
      <c r="B56" s="17">
        <f>IF(N45&gt;0, $N$45/SUM(B44:M44), 0)</f>
        <v>0</v>
      </c>
    </row>
    <row r="57" spans="1:14" x14ac:dyDescent="0.25">
      <c r="A57" s="10" t="s">
        <v>48</v>
      </c>
      <c r="B57" s="2">
        <f>M45+N46+N47-SUM(M50:M54)-B56</f>
        <v>-10482005690.785206</v>
      </c>
    </row>
    <row r="58" spans="1:14" x14ac:dyDescent="0.25">
      <c r="A58" s="10" t="s">
        <v>43</v>
      </c>
      <c r="B58" s="15">
        <f>$B$57/SUM($B$44:M44)</f>
        <v>-0.10587917629340818</v>
      </c>
      <c r="C58" s="6"/>
      <c r="D58" s="6"/>
      <c r="E58" s="6"/>
      <c r="F58" s="6"/>
      <c r="G58" s="6"/>
      <c r="H58" s="6"/>
      <c r="I58" s="6"/>
      <c r="J58" s="6"/>
      <c r="K58" s="6"/>
      <c r="L58" s="6"/>
      <c r="M58" s="6"/>
    </row>
  </sheetData>
  <mergeCells count="10">
    <mergeCell ref="J1:O1"/>
    <mergeCell ref="J2:O2"/>
    <mergeCell ref="J3:O5"/>
    <mergeCell ref="J6:O7"/>
    <mergeCell ref="C27:C29"/>
    <mergeCell ref="P29:T29"/>
    <mergeCell ref="P30:T31"/>
    <mergeCell ref="P32:T33"/>
    <mergeCell ref="P34:T35"/>
    <mergeCell ref="P36:T43"/>
  </mergeCells>
  <phoneticPr fontId="7"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B2E9-A9A6-4A7A-94B9-29B57E699297}">
  <dimension ref="A2:F25"/>
  <sheetViews>
    <sheetView workbookViewId="0">
      <selection activeCell="C22" sqref="C22"/>
    </sheetView>
  </sheetViews>
  <sheetFormatPr defaultRowHeight="15" x14ac:dyDescent="0.25"/>
  <cols>
    <col min="2" max="2" width="71.7109375" bestFit="1" customWidth="1"/>
    <col min="3" max="3" width="71.28515625" customWidth="1"/>
  </cols>
  <sheetData>
    <row r="2" spans="1:6" x14ac:dyDescent="0.25">
      <c r="B2" s="30" t="s">
        <v>79</v>
      </c>
      <c r="C2" s="30" t="s">
        <v>80</v>
      </c>
      <c r="D2" s="31"/>
      <c r="E2" s="31"/>
      <c r="F2" s="31"/>
    </row>
    <row r="3" spans="1:6" x14ac:dyDescent="0.25">
      <c r="A3">
        <v>1</v>
      </c>
      <c r="B3" t="s">
        <v>78</v>
      </c>
      <c r="C3" t="s">
        <v>84</v>
      </c>
    </row>
    <row r="4" spans="1:6" ht="30" x14ac:dyDescent="0.25">
      <c r="A4">
        <v>2</v>
      </c>
      <c r="B4" s="32" t="s">
        <v>81</v>
      </c>
    </row>
    <row r="5" spans="1:6" x14ac:dyDescent="0.25">
      <c r="A5">
        <v>3</v>
      </c>
      <c r="B5" t="s">
        <v>82</v>
      </c>
      <c r="C5" t="s">
        <v>85</v>
      </c>
    </row>
    <row r="6" spans="1:6" x14ac:dyDescent="0.25">
      <c r="A6">
        <v>4</v>
      </c>
      <c r="B6" t="s">
        <v>83</v>
      </c>
    </row>
    <row r="10" spans="1:6" x14ac:dyDescent="0.25">
      <c r="B10" t="s">
        <v>88</v>
      </c>
    </row>
    <row r="14" spans="1:6" x14ac:dyDescent="0.25">
      <c r="B14" s="6" t="s">
        <v>33</v>
      </c>
      <c r="D14" s="6" t="s">
        <v>102</v>
      </c>
    </row>
    <row r="15" spans="1:6" x14ac:dyDescent="0.25">
      <c r="B15" t="s">
        <v>91</v>
      </c>
      <c r="C15" t="s">
        <v>98</v>
      </c>
      <c r="D15" t="s">
        <v>103</v>
      </c>
    </row>
    <row r="16" spans="1:6" x14ac:dyDescent="0.25">
      <c r="B16" t="s">
        <v>92</v>
      </c>
      <c r="C16" t="s">
        <v>99</v>
      </c>
    </row>
    <row r="17" spans="2:4" x14ac:dyDescent="0.25">
      <c r="B17" t="s">
        <v>93</v>
      </c>
    </row>
    <row r="19" spans="2:4" x14ac:dyDescent="0.25">
      <c r="B19" s="6" t="s">
        <v>95</v>
      </c>
    </row>
    <row r="20" spans="2:4" x14ac:dyDescent="0.25">
      <c r="B20" t="s">
        <v>96</v>
      </c>
      <c r="C20" t="s">
        <v>100</v>
      </c>
    </row>
    <row r="21" spans="2:4" x14ac:dyDescent="0.25">
      <c r="B21" t="s">
        <v>94</v>
      </c>
      <c r="C21" t="s">
        <v>98</v>
      </c>
      <c r="D21" t="s">
        <v>104</v>
      </c>
    </row>
    <row r="22" spans="2:4" x14ac:dyDescent="0.25">
      <c r="B22" t="s">
        <v>97</v>
      </c>
      <c r="C22" t="s">
        <v>100</v>
      </c>
    </row>
    <row r="24" spans="2:4" x14ac:dyDescent="0.25">
      <c r="B24" s="6" t="s">
        <v>89</v>
      </c>
    </row>
    <row r="25" spans="2:4" x14ac:dyDescent="0.25">
      <c r="B25"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C7E8-C492-451E-A5D9-5A3B94BB34DB}">
  <dimension ref="A1:U64"/>
  <sheetViews>
    <sheetView topLeftCell="D1" zoomScale="120" zoomScaleNormal="120" workbookViewId="0">
      <selection activeCell="Y13" sqref="Y13"/>
    </sheetView>
  </sheetViews>
  <sheetFormatPr defaultRowHeight="15" x14ac:dyDescent="0.25"/>
  <cols>
    <col min="1" max="1" width="39.85546875" bestFit="1" customWidth="1"/>
    <col min="2" max="2" width="19.140625" bestFit="1" customWidth="1"/>
    <col min="3" max="4" width="19" bestFit="1" customWidth="1"/>
    <col min="5" max="5" width="20.5703125" bestFit="1" customWidth="1"/>
    <col min="6" max="6" width="19" bestFit="1" customWidth="1"/>
    <col min="7" max="7" width="17.5703125" bestFit="1" customWidth="1"/>
    <col min="8" max="8" width="20.140625" bestFit="1" customWidth="1"/>
    <col min="9" max="21" width="18.42578125" bestFit="1" customWidth="1"/>
  </cols>
  <sheetData>
    <row r="1" spans="1:21" x14ac:dyDescent="0.25">
      <c r="A1" t="s">
        <v>50</v>
      </c>
      <c r="B1" t="s">
        <v>51</v>
      </c>
      <c r="C1" t="s">
        <v>52</v>
      </c>
      <c r="D1" t="s">
        <v>53</v>
      </c>
      <c r="E1" t="s">
        <v>54</v>
      </c>
      <c r="F1" t="s">
        <v>55</v>
      </c>
      <c r="G1" s="19" t="s">
        <v>8</v>
      </c>
      <c r="J1" s="25" t="s">
        <v>56</v>
      </c>
      <c r="K1" s="25"/>
      <c r="L1" s="25"/>
      <c r="M1" s="25"/>
      <c r="N1" s="25"/>
      <c r="O1" s="25"/>
    </row>
    <row r="2" spans="1:21" x14ac:dyDescent="0.25">
      <c r="A2" t="s">
        <v>0</v>
      </c>
      <c r="B2" s="2">
        <v>62441218098.580002</v>
      </c>
      <c r="C2" s="2">
        <v>69680096878.970001</v>
      </c>
      <c r="D2" s="2">
        <v>79147328157.25</v>
      </c>
      <c r="E2" s="2">
        <v>84281015919.929993</v>
      </c>
      <c r="F2" s="2">
        <v>90255206894.380005</v>
      </c>
      <c r="H2" s="23">
        <f>Table13[[#This Row],[2025]]*(1+G3)</f>
        <v>98999690569.351303</v>
      </c>
      <c r="I2" s="6">
        <v>1</v>
      </c>
      <c r="J2" s="28" t="s">
        <v>57</v>
      </c>
      <c r="K2" s="28"/>
      <c r="L2" s="28"/>
      <c r="M2" s="28"/>
      <c r="N2" s="28"/>
      <c r="O2" s="28"/>
      <c r="S2" t="s">
        <v>65</v>
      </c>
    </row>
    <row r="3" spans="1:21" ht="15" customHeight="1" x14ac:dyDescent="0.25">
      <c r="A3" t="s">
        <v>4</v>
      </c>
      <c r="B3" t="s">
        <v>7</v>
      </c>
      <c r="C3" s="1">
        <f>(C2/B2)-1</f>
        <v>0.11593109488930065</v>
      </c>
      <c r="D3" s="1">
        <f t="shared" ref="D3:F3" si="0">(D2/C2)-1</f>
        <v>0.13586707973044287</v>
      </c>
      <c r="E3" s="1">
        <f t="shared" si="0"/>
        <v>6.4862426593609968E-2</v>
      </c>
      <c r="F3" s="1">
        <f t="shared" si="0"/>
        <v>7.0884183220165653E-2</v>
      </c>
      <c r="G3" s="20">
        <f>AVERAGE(C3:F3)</f>
        <v>9.6886196108379785E-2</v>
      </c>
      <c r="H3" s="2"/>
      <c r="I3" s="6">
        <v>2</v>
      </c>
      <c r="J3" s="27" t="s">
        <v>58</v>
      </c>
      <c r="K3" s="27"/>
      <c r="L3" s="27"/>
      <c r="M3" s="27"/>
      <c r="N3" s="27"/>
      <c r="O3" s="27"/>
      <c r="T3" t="s">
        <v>66</v>
      </c>
    </row>
    <row r="4" spans="1:21" x14ac:dyDescent="0.25">
      <c r="A4" t="s">
        <v>1</v>
      </c>
      <c r="B4" s="2">
        <v>8723391842.2399998</v>
      </c>
      <c r="C4" s="2">
        <v>9781560771.6399994</v>
      </c>
      <c r="D4" s="2">
        <v>13643040949.950001</v>
      </c>
      <c r="E4" s="2">
        <v>12754954584.5</v>
      </c>
      <c r="F4" s="2">
        <v>13517235117.35</v>
      </c>
      <c r="G4" s="12"/>
      <c r="J4" s="27"/>
      <c r="K4" s="27"/>
      <c r="L4" s="27"/>
      <c r="M4" s="27"/>
      <c r="N4" s="27"/>
      <c r="O4" s="27"/>
      <c r="T4" t="s">
        <v>67</v>
      </c>
    </row>
    <row r="5" spans="1:21" x14ac:dyDescent="0.25">
      <c r="A5" t="s">
        <v>5</v>
      </c>
      <c r="B5" s="1">
        <f>B4/B2</f>
        <v>0.13970566410904758</v>
      </c>
      <c r="C5" s="1">
        <f t="shared" ref="C5:F5" si="1">C4/C2</f>
        <v>0.14037811670425721</v>
      </c>
      <c r="D5" s="1">
        <f t="shared" si="1"/>
        <v>0.17237525596371353</v>
      </c>
      <c r="E5" s="1">
        <f t="shared" si="1"/>
        <v>0.15133840575222382</v>
      </c>
      <c r="F5" s="1">
        <f t="shared" si="1"/>
        <v>0.14976681769915359</v>
      </c>
      <c r="G5" s="21">
        <f>AVERAGE(B5:F5)</f>
        <v>0.15071285204567914</v>
      </c>
      <c r="J5" s="27"/>
      <c r="K5" s="27"/>
      <c r="L5" s="27"/>
      <c r="M5" s="27"/>
      <c r="N5" s="27"/>
      <c r="O5" s="27"/>
      <c r="S5" t="s">
        <v>68</v>
      </c>
    </row>
    <row r="6" spans="1:21" ht="15" customHeight="1" x14ac:dyDescent="0.25">
      <c r="A6" t="s">
        <v>2</v>
      </c>
      <c r="B6" s="2">
        <v>49202382646.720001</v>
      </c>
      <c r="C6" s="2">
        <v>45669918416.410004</v>
      </c>
      <c r="D6" s="2">
        <v>50692296162.019997</v>
      </c>
      <c r="E6" s="2">
        <v>58294248763.230003</v>
      </c>
      <c r="F6" s="2">
        <v>65734909059.07</v>
      </c>
      <c r="H6" s="23"/>
      <c r="I6" s="6">
        <v>3</v>
      </c>
      <c r="J6" s="26" t="s">
        <v>59</v>
      </c>
      <c r="K6" s="26"/>
      <c r="L6" s="26"/>
      <c r="M6" s="26"/>
      <c r="N6" s="26"/>
      <c r="O6" s="26"/>
      <c r="T6" t="s">
        <v>69</v>
      </c>
    </row>
    <row r="7" spans="1:21" x14ac:dyDescent="0.25">
      <c r="A7" t="s">
        <v>4</v>
      </c>
      <c r="B7" t="s">
        <v>7</v>
      </c>
      <c r="C7" s="1">
        <f>(C6/B6)-1</f>
        <v>-7.1794576609705785E-2</v>
      </c>
      <c r="D7" s="1">
        <f t="shared" ref="D7:F7" si="2">(D6/C6)-1</f>
        <v>0.10997124408712233</v>
      </c>
      <c r="E7" s="1">
        <f t="shared" si="2"/>
        <v>0.14996268026433546</v>
      </c>
      <c r="F7" s="1">
        <f t="shared" si="2"/>
        <v>0.12763969780383055</v>
      </c>
      <c r="G7" s="21">
        <f>AVERAGE(C7:F7)</f>
        <v>7.894476138639564E-2</v>
      </c>
      <c r="J7" s="26"/>
      <c r="K7" s="26"/>
      <c r="L7" s="26"/>
      <c r="M7" s="26"/>
      <c r="N7" s="26"/>
      <c r="O7" s="26"/>
      <c r="S7" t="s">
        <v>70</v>
      </c>
    </row>
    <row r="8" spans="1:21" x14ac:dyDescent="0.25">
      <c r="A8" t="s">
        <v>3</v>
      </c>
      <c r="B8" s="2">
        <v>4302525869.3500004</v>
      </c>
      <c r="C8" s="2">
        <v>4452289443.4799995</v>
      </c>
      <c r="D8" s="2">
        <v>4938683866.21</v>
      </c>
      <c r="E8" s="2">
        <v>5294249066.1899996</v>
      </c>
      <c r="F8" s="2">
        <v>5254060908.04</v>
      </c>
      <c r="G8" s="19"/>
      <c r="I8" s="22"/>
      <c r="J8" s="22"/>
      <c r="K8" s="22"/>
      <c r="L8" s="22"/>
      <c r="M8" s="22"/>
      <c r="N8" s="22"/>
      <c r="T8" t="s">
        <v>69</v>
      </c>
    </row>
    <row r="9" spans="1:21" x14ac:dyDescent="0.25">
      <c r="A9" t="s">
        <v>6</v>
      </c>
      <c r="B9" s="1">
        <f>B8/B2</f>
        <v>6.890521998717776E-2</v>
      </c>
      <c r="C9" s="1">
        <f t="shared" ref="C9:F9" si="3">C8/C2</f>
        <v>6.3896143129843083E-2</v>
      </c>
      <c r="D9" s="1">
        <f t="shared" si="3"/>
        <v>6.2398617631132379E-2</v>
      </c>
      <c r="E9" s="1">
        <f t="shared" si="3"/>
        <v>6.2816626121589794E-2</v>
      </c>
      <c r="F9" s="1">
        <f t="shared" si="3"/>
        <v>5.8213382793399354E-2</v>
      </c>
      <c r="G9" s="21">
        <f>AVERAGE(B9:F9)</f>
        <v>6.3245997932628487E-2</v>
      </c>
      <c r="S9" t="s">
        <v>71</v>
      </c>
    </row>
    <row r="10" spans="1:21" x14ac:dyDescent="0.25">
      <c r="A10" t="s">
        <v>47</v>
      </c>
      <c r="B10" s="2">
        <v>3078499571</v>
      </c>
      <c r="C10" s="2">
        <v>9786050231</v>
      </c>
      <c r="D10" s="2">
        <v>8178417872.4499998</v>
      </c>
      <c r="E10" s="2">
        <v>9829856448.6299992</v>
      </c>
      <c r="F10" s="2">
        <v>9978871921.6599998</v>
      </c>
      <c r="H10" s="2"/>
      <c r="T10" t="s">
        <v>69</v>
      </c>
    </row>
    <row r="11" spans="1:21" ht="15" customHeight="1" x14ac:dyDescent="0.25">
      <c r="A11" t="s">
        <v>64</v>
      </c>
      <c r="B11" s="1">
        <f>B10/B2</f>
        <v>4.9302362521816488E-2</v>
      </c>
      <c r="C11" s="1">
        <f>C10/C2</f>
        <v>0.14044254628402369</v>
      </c>
      <c r="D11" s="1">
        <f>D10/D2</f>
        <v>0.10333157243414598</v>
      </c>
      <c r="E11" s="1">
        <f>E10/E2</f>
        <v>0.11663191694282278</v>
      </c>
      <c r="F11" s="1">
        <f>F10/F2</f>
        <v>0.11056283914276155</v>
      </c>
      <c r="H11" s="2"/>
    </row>
    <row r="12" spans="1:21" x14ac:dyDescent="0.25">
      <c r="A12" t="s">
        <v>76</v>
      </c>
      <c r="B12" s="24">
        <v>8496951934</v>
      </c>
      <c r="C12" s="24">
        <v>10957656219</v>
      </c>
      <c r="D12" s="24">
        <v>11517904312.09</v>
      </c>
      <c r="E12" s="24">
        <v>12889708722.120001</v>
      </c>
      <c r="F12" s="24">
        <v>12583277072.24</v>
      </c>
      <c r="H12" s="35"/>
      <c r="I12" s="34"/>
      <c r="J12" s="34"/>
      <c r="K12" s="34"/>
      <c r="L12" s="34"/>
      <c r="M12" s="34"/>
      <c r="N12" s="34"/>
      <c r="O12" s="34"/>
      <c r="P12" s="34"/>
      <c r="Q12" s="34"/>
      <c r="R12" s="34"/>
      <c r="S12" s="34" t="s">
        <v>90</v>
      </c>
      <c r="T12" s="34"/>
      <c r="U12" s="34"/>
    </row>
    <row r="13" spans="1:21" x14ac:dyDescent="0.25">
      <c r="A13" t="s">
        <v>4</v>
      </c>
      <c r="B13" t="s">
        <v>7</v>
      </c>
      <c r="C13" s="1">
        <f>(C12/B12)-1</f>
        <v>0.28959847061787558</v>
      </c>
      <c r="D13" s="1">
        <f>(D12/C12)-1</f>
        <v>5.1128460493089722E-2</v>
      </c>
      <c r="E13" s="1">
        <f t="shared" ref="E13:F13" si="4">(E12/D12)-1</f>
        <v>0.11910191063056996</v>
      </c>
      <c r="F13" s="1">
        <f t="shared" si="4"/>
        <v>-2.3773357217462543E-2</v>
      </c>
      <c r="G13" s="20">
        <f>AVERAGE(Table13[[#This Row],[2022]:[2025]])</f>
        <v>0.10901387113101818</v>
      </c>
      <c r="H13" s="2"/>
      <c r="J13" s="2"/>
      <c r="S13">
        <v>1</v>
      </c>
      <c r="T13" t="s">
        <v>73</v>
      </c>
    </row>
    <row r="14" spans="1:21" x14ac:dyDescent="0.25">
      <c r="C14" s="1"/>
      <c r="D14" s="1"/>
      <c r="E14" s="1"/>
      <c r="F14" s="2"/>
      <c r="H14" s="2"/>
      <c r="J14" s="2"/>
    </row>
    <row r="15" spans="1:21" x14ac:dyDescent="0.25">
      <c r="C15" s="1"/>
      <c r="D15" s="1"/>
      <c r="E15" s="1"/>
      <c r="F15" s="2"/>
      <c r="H15" s="2"/>
      <c r="J15" s="2"/>
    </row>
    <row r="16" spans="1:21" x14ac:dyDescent="0.25">
      <c r="A16" t="s">
        <v>89</v>
      </c>
      <c r="C16" s="1"/>
      <c r="D16" s="1"/>
      <c r="E16" s="2">
        <v>129682578271.89</v>
      </c>
      <c r="F16" s="2">
        <v>143257218724.95999</v>
      </c>
      <c r="H16" s="2"/>
      <c r="J16" s="2"/>
    </row>
    <row r="17" spans="1:19" x14ac:dyDescent="0.25">
      <c r="A17" t="s">
        <v>76</v>
      </c>
      <c r="B17" s="2">
        <v>8496951934</v>
      </c>
      <c r="C17" s="2">
        <v>10957656219</v>
      </c>
      <c r="D17" s="2">
        <v>11517904312.09</v>
      </c>
      <c r="E17" s="2">
        <v>12889708722.120001</v>
      </c>
      <c r="F17" s="2">
        <v>12583277072.24</v>
      </c>
      <c r="H17" s="2"/>
      <c r="J17" s="2"/>
    </row>
    <row r="18" spans="1:19" x14ac:dyDescent="0.25">
      <c r="C18" s="1"/>
      <c r="D18" s="1"/>
      <c r="E18" s="1"/>
      <c r="F18" s="1">
        <f>F17/E16</f>
        <v>9.7031361034927474E-2</v>
      </c>
      <c r="H18" s="2"/>
      <c r="J18" s="2"/>
    </row>
    <row r="19" spans="1:19" x14ac:dyDescent="0.25">
      <c r="C19" s="1"/>
      <c r="D19" s="1"/>
      <c r="E19" s="1"/>
      <c r="F19" s="2"/>
      <c r="H19" s="2"/>
      <c r="J19" s="2"/>
    </row>
    <row r="20" spans="1:19" x14ac:dyDescent="0.25">
      <c r="C20" s="1"/>
      <c r="D20" s="1"/>
      <c r="E20" s="1"/>
      <c r="F20" s="2"/>
      <c r="H20" s="2"/>
      <c r="J20" s="2"/>
    </row>
    <row r="21" spans="1:19" x14ac:dyDescent="0.25">
      <c r="B21" s="2">
        <f>B2-B4-B6-B8+B12</f>
        <v>8709869674.2700024</v>
      </c>
      <c r="C21" s="2"/>
      <c r="D21" s="2"/>
      <c r="E21" s="2"/>
      <c r="F21" s="3">
        <f>F14/F2</f>
        <v>0</v>
      </c>
      <c r="H21" s="2">
        <f>H2*F21</f>
        <v>0</v>
      </c>
      <c r="J21" s="2"/>
    </row>
    <row r="22" spans="1:19" x14ac:dyDescent="0.25">
      <c r="A22" t="s">
        <v>74</v>
      </c>
      <c r="B22" s="2">
        <f>B2-B4-B6-B8</f>
        <v>212917740.27000237</v>
      </c>
      <c r="C22" s="2">
        <f>C2-C4-C6-C8</f>
        <v>9776328247.4399986</v>
      </c>
      <c r="D22" s="2">
        <f>D2-D4-D6-D8</f>
        <v>9873307179.0700073</v>
      </c>
      <c r="E22" s="2">
        <f>E2-E4-E6-E8</f>
        <v>7937563506.0099897</v>
      </c>
      <c r="F22" s="2">
        <f>F2-F4-F6-F8</f>
        <v>5749001809.9199991</v>
      </c>
      <c r="H22" s="2" t="s">
        <v>87</v>
      </c>
      <c r="I22" s="2">
        <f>H2-H21</f>
        <v>98999690569.351303</v>
      </c>
      <c r="J22" s="2"/>
    </row>
    <row r="23" spans="1:19" x14ac:dyDescent="0.25">
      <c r="A23" t="s">
        <v>75</v>
      </c>
      <c r="B23" s="2"/>
      <c r="C23" s="2"/>
      <c r="D23" s="2"/>
      <c r="E23" s="2"/>
      <c r="F23" s="2"/>
      <c r="H23" s="2"/>
      <c r="J23" s="2"/>
    </row>
    <row r="24" spans="1:19" x14ac:dyDescent="0.25">
      <c r="S24">
        <v>2</v>
      </c>
    </row>
    <row r="25" spans="1:19" x14ac:dyDescent="0.25">
      <c r="C25" t="s">
        <v>13</v>
      </c>
      <c r="O25" s="16"/>
    </row>
    <row r="26" spans="1:19" x14ac:dyDescent="0.25">
      <c r="B26" t="s">
        <v>12</v>
      </c>
      <c r="C26" s="16">
        <v>46023</v>
      </c>
      <c r="D26" s="16">
        <v>46054</v>
      </c>
      <c r="E26" s="16">
        <v>46082</v>
      </c>
      <c r="F26" s="16">
        <v>46113</v>
      </c>
      <c r="G26" s="16">
        <v>46143</v>
      </c>
      <c r="H26" s="16">
        <v>46174</v>
      </c>
      <c r="I26" s="16">
        <v>46204</v>
      </c>
      <c r="J26" s="16">
        <v>46235</v>
      </c>
      <c r="K26" s="16">
        <v>46266</v>
      </c>
      <c r="L26" s="16">
        <v>46296</v>
      </c>
      <c r="M26" s="16">
        <v>46327</v>
      </c>
      <c r="N26" s="16">
        <v>46357</v>
      </c>
    </row>
    <row r="27" spans="1:19" x14ac:dyDescent="0.25">
      <c r="A27" t="s">
        <v>9</v>
      </c>
      <c r="B27" s="2">
        <f>F2*(1+G3)</f>
        <v>98999690569.351303</v>
      </c>
      <c r="C27" s="2">
        <f>$F$2*(1+($G$3/12))</f>
        <v>90983913867.294266</v>
      </c>
      <c r="D27" s="2">
        <f t="shared" ref="D27:N27" si="5">($B$27-$C$27)/11</f>
        <v>728706972.91427612</v>
      </c>
      <c r="E27" s="2">
        <f t="shared" si="5"/>
        <v>728706972.91427612</v>
      </c>
      <c r="F27" s="2">
        <f t="shared" si="5"/>
        <v>728706972.91427612</v>
      </c>
      <c r="G27" s="2">
        <f t="shared" si="5"/>
        <v>728706972.91427612</v>
      </c>
      <c r="H27" s="2">
        <f t="shared" si="5"/>
        <v>728706972.91427612</v>
      </c>
      <c r="I27" s="2">
        <f t="shared" si="5"/>
        <v>728706972.91427612</v>
      </c>
      <c r="J27" s="2">
        <f t="shared" si="5"/>
        <v>728706972.91427612</v>
      </c>
      <c r="K27" s="2">
        <f t="shared" si="5"/>
        <v>728706972.91427612</v>
      </c>
      <c r="L27" s="2">
        <f t="shared" si="5"/>
        <v>728706972.91427612</v>
      </c>
      <c r="M27" s="2">
        <f t="shared" si="5"/>
        <v>728706972.91427612</v>
      </c>
      <c r="N27" s="2">
        <f t="shared" si="5"/>
        <v>728706972.91427612</v>
      </c>
    </row>
    <row r="28" spans="1:19" x14ac:dyDescent="0.25">
      <c r="A28" t="s">
        <v>10</v>
      </c>
      <c r="B28" s="2">
        <f>F6*(1+G7)</f>
        <v>70924335769.49469</v>
      </c>
      <c r="C28" s="2">
        <f t="shared" ref="C28:N28" si="6">$B$28/12</f>
        <v>5910361314.1245575</v>
      </c>
      <c r="D28" s="2">
        <f t="shared" si="6"/>
        <v>5910361314.1245575</v>
      </c>
      <c r="E28" s="2">
        <f t="shared" si="6"/>
        <v>5910361314.1245575</v>
      </c>
      <c r="F28" s="2">
        <f t="shared" si="6"/>
        <v>5910361314.1245575</v>
      </c>
      <c r="G28" s="2">
        <f t="shared" si="6"/>
        <v>5910361314.1245575</v>
      </c>
      <c r="H28" s="2">
        <f t="shared" si="6"/>
        <v>5910361314.1245575</v>
      </c>
      <c r="I28" s="2">
        <f t="shared" si="6"/>
        <v>5910361314.1245575</v>
      </c>
      <c r="J28" s="2">
        <f t="shared" si="6"/>
        <v>5910361314.1245575</v>
      </c>
      <c r="K28" s="2">
        <f t="shared" si="6"/>
        <v>5910361314.1245575</v>
      </c>
      <c r="L28" s="2">
        <f t="shared" si="6"/>
        <v>5910361314.1245575</v>
      </c>
      <c r="M28" s="2">
        <f t="shared" si="6"/>
        <v>5910361314.1245575</v>
      </c>
      <c r="N28" s="2">
        <f t="shared" si="6"/>
        <v>5910361314.1245575</v>
      </c>
    </row>
    <row r="29" spans="1:19" x14ac:dyDescent="0.25">
      <c r="A29" t="s">
        <v>77</v>
      </c>
      <c r="B29" s="2">
        <f>F12*(1+G13)</f>
        <v>13955028817.399067</v>
      </c>
      <c r="C29" s="2"/>
      <c r="D29" s="2"/>
      <c r="E29" s="2"/>
      <c r="F29" s="2"/>
      <c r="G29" s="2"/>
      <c r="H29" s="2"/>
      <c r="I29" s="2"/>
      <c r="J29" s="2"/>
      <c r="K29" s="2"/>
      <c r="L29" s="2"/>
      <c r="M29" s="2"/>
      <c r="N29" s="2"/>
    </row>
    <row r="31" spans="1:19" x14ac:dyDescent="0.25">
      <c r="A31" s="5" t="s">
        <v>14</v>
      </c>
      <c r="B31" s="9">
        <v>0.27</v>
      </c>
      <c r="C31" t="s">
        <v>15</v>
      </c>
    </row>
    <row r="32" spans="1:19" x14ac:dyDescent="0.25">
      <c r="A32" s="5" t="s">
        <v>16</v>
      </c>
      <c r="B32" s="18">
        <f>ROUND(DATOS!$G$9, 6)</f>
        <v>6.3245999999999997E-2</v>
      </c>
      <c r="C32" t="s">
        <v>17</v>
      </c>
      <c r="G32">
        <v>2025</v>
      </c>
      <c r="I32">
        <v>2026</v>
      </c>
    </row>
    <row r="33" spans="1:20" x14ac:dyDescent="0.25">
      <c r="A33" s="5" t="s">
        <v>18</v>
      </c>
      <c r="B33" s="9">
        <v>0.02</v>
      </c>
      <c r="C33" s="29" t="s">
        <v>19</v>
      </c>
      <c r="F33" s="2">
        <v>12000000000</v>
      </c>
      <c r="G33" s="2">
        <v>12500000000</v>
      </c>
      <c r="I33" s="2">
        <f>G33*(1+H34)</f>
        <v>13125000000</v>
      </c>
    </row>
    <row r="34" spans="1:20" x14ac:dyDescent="0.25">
      <c r="A34" s="5" t="s">
        <v>20</v>
      </c>
      <c r="B34" s="18">
        <f>ROUND((DATOS!$G$5-$B$33)/2, 6)</f>
        <v>6.5355999999999997E-2</v>
      </c>
      <c r="C34" s="29"/>
      <c r="H34" s="33">
        <v>0.05</v>
      </c>
    </row>
    <row r="35" spans="1:20" x14ac:dyDescent="0.25">
      <c r="A35" s="5" t="s">
        <v>21</v>
      </c>
      <c r="B35" s="18">
        <f>ROUND((DATOS!$G$5-$B$33)/2, 6)</f>
        <v>6.5355999999999997E-2</v>
      </c>
      <c r="C35" s="29"/>
      <c r="P35" s="25" t="s">
        <v>46</v>
      </c>
      <c r="Q35" s="25"/>
      <c r="R35" s="25"/>
      <c r="S35" s="25"/>
      <c r="T35" s="25"/>
    </row>
    <row r="36" spans="1:20" ht="15" customHeight="1" x14ac:dyDescent="0.25">
      <c r="A36" s="5" t="s">
        <v>22</v>
      </c>
      <c r="B36" s="9">
        <v>0.16</v>
      </c>
      <c r="O36">
        <v>1</v>
      </c>
      <c r="P36" s="26" t="s">
        <v>60</v>
      </c>
      <c r="Q36" s="26"/>
      <c r="R36" s="26"/>
      <c r="S36" s="26"/>
      <c r="T36" s="26"/>
    </row>
    <row r="37" spans="1:20" x14ac:dyDescent="0.25">
      <c r="A37" s="5" t="s">
        <v>23</v>
      </c>
      <c r="B37" s="9">
        <v>0.04</v>
      </c>
      <c r="P37" s="26"/>
      <c r="Q37" s="26"/>
      <c r="R37" s="26"/>
      <c r="S37" s="26"/>
      <c r="T37" s="26"/>
    </row>
    <row r="38" spans="1:20" ht="15" customHeight="1" x14ac:dyDescent="0.25">
      <c r="A38" s="5" t="s">
        <v>24</v>
      </c>
      <c r="B38" s="9">
        <v>0.02</v>
      </c>
      <c r="O38">
        <v>2</v>
      </c>
      <c r="P38" s="27" t="s">
        <v>61</v>
      </c>
      <c r="Q38" s="27"/>
      <c r="R38" s="27"/>
      <c r="S38" s="27"/>
      <c r="T38" s="27"/>
    </row>
    <row r="39" spans="1:20" x14ac:dyDescent="0.25">
      <c r="A39" s="5" t="s">
        <v>25</v>
      </c>
      <c r="B39" s="9">
        <v>0.35</v>
      </c>
      <c r="P39" s="27"/>
      <c r="Q39" s="27"/>
      <c r="R39" s="27"/>
      <c r="S39" s="27"/>
      <c r="T39" s="27"/>
    </row>
    <row r="40" spans="1:20" ht="15" customHeight="1" x14ac:dyDescent="0.25">
      <c r="O40">
        <v>3</v>
      </c>
      <c r="P40" s="26" t="s">
        <v>62</v>
      </c>
      <c r="Q40" s="26"/>
      <c r="R40" s="26"/>
      <c r="S40" s="26"/>
      <c r="T40" s="26"/>
    </row>
    <row r="41" spans="1:20" x14ac:dyDescent="0.25">
      <c r="A41" s="5" t="s">
        <v>27</v>
      </c>
      <c r="B41" s="8">
        <f>(1+F41)/(1+B37)-1</f>
        <v>3.067307692307697E-2</v>
      </c>
      <c r="C41" t="s">
        <v>28</v>
      </c>
      <c r="E41" t="s">
        <v>29</v>
      </c>
      <c r="F41" s="1">
        <v>7.1900000000000006E-2</v>
      </c>
      <c r="G41" t="s">
        <v>30</v>
      </c>
      <c r="P41" s="26"/>
      <c r="Q41" s="26"/>
      <c r="R41" s="26"/>
      <c r="S41" s="26"/>
      <c r="T41" s="26"/>
    </row>
    <row r="42" spans="1:20" ht="15" customHeight="1" x14ac:dyDescent="0.25">
      <c r="O42">
        <v>3.1</v>
      </c>
      <c r="P42" s="27" t="s">
        <v>63</v>
      </c>
      <c r="Q42" s="27"/>
      <c r="R42" s="27"/>
      <c r="S42" s="27"/>
      <c r="T42" s="27"/>
    </row>
    <row r="43" spans="1:20" ht="23.25" x14ac:dyDescent="0.35">
      <c r="A43" s="7" t="s">
        <v>26</v>
      </c>
      <c r="P43" s="27"/>
      <c r="Q43" s="27"/>
      <c r="R43" s="27"/>
      <c r="S43" s="27"/>
      <c r="T43" s="27"/>
    </row>
    <row r="44" spans="1:20" x14ac:dyDescent="0.25">
      <c r="P44" s="27"/>
      <c r="Q44" s="27"/>
      <c r="R44" s="27"/>
      <c r="S44" s="27"/>
      <c r="T44" s="27"/>
    </row>
    <row r="45" spans="1:20" x14ac:dyDescent="0.25">
      <c r="A45" s="10" t="s">
        <v>31</v>
      </c>
      <c r="B45" s="11" t="s">
        <v>32</v>
      </c>
      <c r="D45" s="10" t="s">
        <v>44</v>
      </c>
      <c r="E45" s="14">
        <v>0.5</v>
      </c>
      <c r="M45" t="s">
        <v>49</v>
      </c>
      <c r="P45" s="27"/>
      <c r="Q45" s="27"/>
      <c r="R45" s="27"/>
      <c r="S45" s="27"/>
      <c r="T45" s="27"/>
    </row>
    <row r="46" spans="1:20" x14ac:dyDescent="0.25">
      <c r="P46" s="27"/>
      <c r="Q46" s="27"/>
      <c r="R46" s="27"/>
      <c r="S46" s="27"/>
      <c r="T46" s="27"/>
    </row>
    <row r="47" spans="1:20" x14ac:dyDescent="0.25">
      <c r="A47" s="13" t="s">
        <v>38</v>
      </c>
      <c r="B47" s="16">
        <v>46023</v>
      </c>
      <c r="C47" s="16">
        <v>46054</v>
      </c>
      <c r="D47" s="16">
        <v>46082</v>
      </c>
      <c r="E47" s="16">
        <v>46113</v>
      </c>
      <c r="F47" s="16">
        <v>46143</v>
      </c>
      <c r="G47" s="16">
        <v>46174</v>
      </c>
      <c r="H47" s="16">
        <v>46204</v>
      </c>
      <c r="I47" s="16">
        <v>46235</v>
      </c>
      <c r="J47" s="16">
        <v>46266</v>
      </c>
      <c r="K47" s="16">
        <v>46296</v>
      </c>
      <c r="L47" s="16">
        <v>46327</v>
      </c>
      <c r="M47" s="16">
        <v>46357</v>
      </c>
      <c r="N47" s="16">
        <v>46388</v>
      </c>
      <c r="P47" s="27"/>
      <c r="Q47" s="27"/>
      <c r="R47" s="27"/>
      <c r="S47" s="27"/>
      <c r="T47" s="27"/>
    </row>
    <row r="48" spans="1:20" x14ac:dyDescent="0.25">
      <c r="P48" s="27"/>
      <c r="Q48" s="27"/>
      <c r="R48" s="27"/>
      <c r="S48" s="27"/>
      <c r="T48" s="27"/>
    </row>
    <row r="49" spans="1:20" x14ac:dyDescent="0.25">
      <c r="A49" s="10" t="s">
        <v>33</v>
      </c>
      <c r="P49" s="27"/>
      <c r="Q49" s="27"/>
      <c r="R49" s="27"/>
      <c r="S49" s="27"/>
      <c r="T49" s="27"/>
    </row>
    <row r="50" spans="1:20" x14ac:dyDescent="0.25">
      <c r="A50" s="11" t="s">
        <v>34</v>
      </c>
      <c r="B50" s="2">
        <v>90983913867.294266</v>
      </c>
      <c r="C50" s="2">
        <v>728706972.914276</v>
      </c>
      <c r="D50" s="2">
        <v>728706972.91427612</v>
      </c>
      <c r="E50" s="2">
        <v>728706972.91427612</v>
      </c>
      <c r="F50" s="2">
        <v>728706972.91427612</v>
      </c>
      <c r="G50" s="2">
        <v>728706972.91427612</v>
      </c>
      <c r="H50" s="2">
        <v>728706972.91427612</v>
      </c>
      <c r="I50" s="2">
        <v>728706972.91427612</v>
      </c>
      <c r="J50" s="2">
        <v>728706972.91427612</v>
      </c>
      <c r="K50" s="2">
        <v>728706972.91427612</v>
      </c>
      <c r="L50" s="2">
        <v>728706972.91427612</v>
      </c>
      <c r="M50" s="2">
        <v>728706972.91427612</v>
      </c>
      <c r="N50" s="2"/>
    </row>
    <row r="51" spans="1:20" x14ac:dyDescent="0.25">
      <c r="A51" s="11" t="s">
        <v>35</v>
      </c>
      <c r="B51" s="2">
        <f>B50</f>
        <v>90983913867.294266</v>
      </c>
      <c r="C51" s="2">
        <f>B51+C50+C52+C53-SUM(B56:B60)</f>
        <v>50074700311.286392</v>
      </c>
      <c r="D51" s="2">
        <f>C51+D50+D52+D53-SUM(C56:C60)</f>
        <v>44669963742.380257</v>
      </c>
      <c r="E51" s="2">
        <f t="shared" ref="E51:K51" si="7">D51+E50+E52+E53-SUM(D56:D60)</f>
        <v>39258319677.618828</v>
      </c>
      <c r="F51" s="2">
        <f t="shared" si="7"/>
        <v>33839759288.912453</v>
      </c>
      <c r="G51" s="2">
        <f t="shared" si="7"/>
        <v>28414273736.888779</v>
      </c>
      <c r="H51" s="2">
        <f t="shared" si="7"/>
        <v>22981854170.878342</v>
      </c>
      <c r="I51" s="2">
        <f t="shared" si="7"/>
        <v>17542491728.900124</v>
      </c>
      <c r="J51" s="2">
        <f t="shared" si="7"/>
        <v>12096177537.647104</v>
      </c>
      <c r="K51" s="2">
        <f t="shared" si="7"/>
        <v>6642902712.4717712</v>
      </c>
      <c r="L51" s="2">
        <f>K51+L50+L52+L53-SUM(K56:K60)</f>
        <v>1182658357.3716345</v>
      </c>
      <c r="M51" s="2">
        <f>L51+M50+M52+M53-SUM(L56:L60)</f>
        <v>-4284564435.0252852</v>
      </c>
      <c r="N51" s="2"/>
    </row>
    <row r="52" spans="1:20" x14ac:dyDescent="0.25">
      <c r="A52" s="11" t="s">
        <v>36</v>
      </c>
      <c r="B52" s="2">
        <v>0</v>
      </c>
      <c r="C52" s="2">
        <f t="shared" ref="C52:N52" si="8">IF(B51&gt;0, B51*$E$45*($B$41/12), 0)</f>
        <v>116281524.53392194</v>
      </c>
      <c r="D52" s="2">
        <f t="shared" si="8"/>
        <v>63997713.939504743</v>
      </c>
      <c r="E52" s="2">
        <f t="shared" si="8"/>
        <v>57090218.084212035</v>
      </c>
      <c r="F52" s="2">
        <f t="shared" si="8"/>
        <v>50173894.139264524</v>
      </c>
      <c r="G52" s="2">
        <f t="shared" si="8"/>
        <v>43248730.821967505</v>
      </c>
      <c r="H52" s="2">
        <f t="shared" si="8"/>
        <v>36314716.835206471</v>
      </c>
      <c r="I52" s="2">
        <f t="shared" si="8"/>
        <v>29371840.867428698</v>
      </c>
      <c r="J52" s="2">
        <f t="shared" si="8"/>
        <v>22420091.592624791</v>
      </c>
      <c r="K52" s="2">
        <f t="shared" si="8"/>
        <v>15459457.670310225</v>
      </c>
      <c r="L52" s="2">
        <f t="shared" si="8"/>
        <v>8489927.7455068044</v>
      </c>
      <c r="M52" s="2">
        <f t="shared" si="8"/>
        <v>1511490.4487241667</v>
      </c>
      <c r="N52" s="2">
        <f t="shared" si="8"/>
        <v>0</v>
      </c>
    </row>
    <row r="53" spans="1:20" x14ac:dyDescent="0.25">
      <c r="A53" s="11" t="s">
        <v>37</v>
      </c>
      <c r="B53" s="2">
        <v>0</v>
      </c>
      <c r="C53" s="2">
        <v>0</v>
      </c>
      <c r="D53" s="2">
        <v>0</v>
      </c>
      <c r="E53" s="2">
        <v>0</v>
      </c>
      <c r="F53" s="2">
        <v>0</v>
      </c>
      <c r="G53" s="2">
        <v>0</v>
      </c>
      <c r="H53" s="2">
        <v>0</v>
      </c>
      <c r="I53" s="2">
        <v>0</v>
      </c>
      <c r="J53" s="2">
        <v>0</v>
      </c>
      <c r="K53" s="2">
        <v>0</v>
      </c>
      <c r="L53" s="2">
        <v>0</v>
      </c>
      <c r="M53" s="2">
        <v>0</v>
      </c>
      <c r="N53" s="2">
        <v>0</v>
      </c>
    </row>
    <row r="55" spans="1:20" x14ac:dyDescent="0.25">
      <c r="A55" s="10" t="s">
        <v>39</v>
      </c>
    </row>
    <row r="56" spans="1:20" x14ac:dyDescent="0.25">
      <c r="A56" s="11" t="s">
        <v>11</v>
      </c>
      <c r="B56" s="2">
        <v>5910361314.1245575</v>
      </c>
      <c r="C56" s="2">
        <v>5910361314.1245575</v>
      </c>
      <c r="D56" s="2">
        <v>5910361314.1245575</v>
      </c>
      <c r="E56" s="2">
        <v>5910361314.1245575</v>
      </c>
      <c r="F56" s="2">
        <v>5910361314.1245575</v>
      </c>
      <c r="G56" s="2">
        <v>5910361314.1245575</v>
      </c>
      <c r="H56" s="2">
        <v>5910361314.1245575</v>
      </c>
      <c r="I56" s="2">
        <v>5910361314.1245575</v>
      </c>
      <c r="J56" s="2">
        <v>5910361314.1245575</v>
      </c>
      <c r="K56" s="2">
        <v>5910361314.1245575</v>
      </c>
      <c r="L56" s="2">
        <v>5910361314.1245575</v>
      </c>
      <c r="M56" s="2">
        <v>5910361314.1245575</v>
      </c>
      <c r="N56" s="2"/>
    </row>
    <row r="57" spans="1:20" x14ac:dyDescent="0.25">
      <c r="A57" s="11" t="s">
        <v>24</v>
      </c>
      <c r="B57" s="2">
        <f t="shared" ref="B57:M57" si="9">B50*$B$38</f>
        <v>1819678277.3458853</v>
      </c>
      <c r="C57" s="2">
        <f t="shared" si="9"/>
        <v>14574139.45828552</v>
      </c>
      <c r="D57" s="2">
        <f t="shared" si="9"/>
        <v>14574139.458285524</v>
      </c>
      <c r="E57" s="2">
        <f t="shared" si="9"/>
        <v>14574139.458285524</v>
      </c>
      <c r="F57" s="2">
        <f t="shared" si="9"/>
        <v>14574139.458285524</v>
      </c>
      <c r="G57" s="2">
        <f t="shared" si="9"/>
        <v>14574139.458285524</v>
      </c>
      <c r="H57" s="2">
        <f t="shared" si="9"/>
        <v>14574139.458285524</v>
      </c>
      <c r="I57" s="2">
        <f t="shared" si="9"/>
        <v>14574139.458285524</v>
      </c>
      <c r="J57" s="2">
        <f t="shared" si="9"/>
        <v>14574139.458285524</v>
      </c>
      <c r="K57" s="2">
        <f t="shared" si="9"/>
        <v>14574139.458285524</v>
      </c>
      <c r="L57" s="2">
        <f t="shared" si="9"/>
        <v>14574139.458285524</v>
      </c>
      <c r="M57" s="2">
        <f t="shared" si="9"/>
        <v>14574139.458285524</v>
      </c>
      <c r="N57" s="2"/>
    </row>
    <row r="58" spans="1:20" x14ac:dyDescent="0.25">
      <c r="A58" s="11" t="s">
        <v>40</v>
      </c>
      <c r="B58" s="2">
        <f t="shared" ref="B58:M58" si="10">B50*$B$32</f>
        <v>5754368616.4508924</v>
      </c>
      <c r="C58" s="2">
        <f t="shared" si="10"/>
        <v>46087801.208936296</v>
      </c>
      <c r="D58" s="2">
        <f t="shared" si="10"/>
        <v>46087801.208936304</v>
      </c>
      <c r="E58" s="2">
        <f t="shared" si="10"/>
        <v>46087801.208936304</v>
      </c>
      <c r="F58" s="2">
        <f t="shared" si="10"/>
        <v>46087801.208936304</v>
      </c>
      <c r="G58" s="2">
        <f t="shared" si="10"/>
        <v>46087801.208936304</v>
      </c>
      <c r="H58" s="2">
        <f t="shared" si="10"/>
        <v>46087801.208936304</v>
      </c>
      <c r="I58" s="2">
        <f t="shared" si="10"/>
        <v>46087801.208936304</v>
      </c>
      <c r="J58" s="2">
        <f t="shared" si="10"/>
        <v>46087801.208936304</v>
      </c>
      <c r="K58" s="2">
        <f t="shared" si="10"/>
        <v>46087801.208936304</v>
      </c>
      <c r="L58" s="2">
        <f t="shared" si="10"/>
        <v>46087801.208936304</v>
      </c>
      <c r="M58" s="2">
        <f t="shared" si="10"/>
        <v>46087801.208936304</v>
      </c>
      <c r="N58" s="2"/>
    </row>
    <row r="59" spans="1:20" x14ac:dyDescent="0.25">
      <c r="A59" s="11" t="s">
        <v>41</v>
      </c>
      <c r="B59" s="2">
        <f t="shared" ref="B59:M59" si="11">B50*SUM($B$33:$B$35)</f>
        <v>13712367626.767654</v>
      </c>
      <c r="C59" s="2">
        <f t="shared" si="11"/>
        <v>109824885.30185637</v>
      </c>
      <c r="D59" s="2">
        <f t="shared" si="11"/>
        <v>109824885.3018564</v>
      </c>
      <c r="E59" s="2">
        <f t="shared" si="11"/>
        <v>109824885.3018564</v>
      </c>
      <c r="F59" s="2">
        <f t="shared" si="11"/>
        <v>109824885.3018564</v>
      </c>
      <c r="G59" s="2">
        <f t="shared" si="11"/>
        <v>109824885.3018564</v>
      </c>
      <c r="H59" s="2">
        <f t="shared" si="11"/>
        <v>109824885.3018564</v>
      </c>
      <c r="I59" s="2">
        <f t="shared" si="11"/>
        <v>109824885.3018564</v>
      </c>
      <c r="J59" s="2">
        <f t="shared" si="11"/>
        <v>109824885.3018564</v>
      </c>
      <c r="K59" s="2">
        <f t="shared" si="11"/>
        <v>109824885.3018564</v>
      </c>
      <c r="L59" s="2">
        <f t="shared" si="11"/>
        <v>109824885.3018564</v>
      </c>
      <c r="M59" s="2">
        <f t="shared" si="11"/>
        <v>109824885.3018564</v>
      </c>
      <c r="N59" s="2"/>
    </row>
    <row r="60" spans="1:20" x14ac:dyDescent="0.25">
      <c r="A60" s="11" t="s">
        <v>42</v>
      </c>
      <c r="B60" s="2">
        <f t="shared" ref="B60:M60" si="12">B50*$B$36</f>
        <v>14557426218.767082</v>
      </c>
      <c r="C60" s="2">
        <f t="shared" si="12"/>
        <v>116593115.66628416</v>
      </c>
      <c r="D60" s="2">
        <f t="shared" si="12"/>
        <v>116593115.66628419</v>
      </c>
      <c r="E60" s="2">
        <f t="shared" si="12"/>
        <v>116593115.66628419</v>
      </c>
      <c r="F60" s="2">
        <f t="shared" si="12"/>
        <v>116593115.66628419</v>
      </c>
      <c r="G60" s="2">
        <f t="shared" si="12"/>
        <v>116593115.66628419</v>
      </c>
      <c r="H60" s="2">
        <f t="shared" si="12"/>
        <v>116593115.66628419</v>
      </c>
      <c r="I60" s="2">
        <f t="shared" si="12"/>
        <v>116593115.66628419</v>
      </c>
      <c r="J60" s="2">
        <f t="shared" si="12"/>
        <v>116593115.66628419</v>
      </c>
      <c r="K60" s="2">
        <f t="shared" si="12"/>
        <v>116593115.66628419</v>
      </c>
      <c r="L60" s="2">
        <f t="shared" si="12"/>
        <v>116593115.66628419</v>
      </c>
      <c r="M60" s="2">
        <f t="shared" si="12"/>
        <v>116593115.66628419</v>
      </c>
      <c r="N60" s="2"/>
    </row>
    <row r="61" spans="1:20" x14ac:dyDescent="0.25">
      <c r="B61" s="2"/>
      <c r="C61" s="2"/>
      <c r="D61" s="2"/>
      <c r="E61" s="2"/>
      <c r="F61" s="2"/>
      <c r="G61" s="2"/>
      <c r="H61" s="2"/>
      <c r="I61" s="2"/>
      <c r="J61" s="2"/>
      <c r="K61" s="2"/>
      <c r="L61" s="2"/>
      <c r="M61" s="2"/>
    </row>
    <row r="62" spans="1:20" x14ac:dyDescent="0.25">
      <c r="A62" s="10" t="s">
        <v>45</v>
      </c>
      <c r="B62" s="17">
        <f>IF(N51&gt;0, $N$51/SUM(B50:M50), 0)</f>
        <v>0</v>
      </c>
    </row>
    <row r="63" spans="1:20" x14ac:dyDescent="0.25">
      <c r="A63" s="10" t="s">
        <v>48</v>
      </c>
      <c r="B63" s="2">
        <f>M51+N52+N53-SUM(M56:M60)-B62</f>
        <v>-10482005690.785206</v>
      </c>
    </row>
    <row r="64" spans="1:20" x14ac:dyDescent="0.25">
      <c r="A64" s="10" t="s">
        <v>43</v>
      </c>
      <c r="B64" s="15">
        <f>$B$63/SUM($B$50:M50)</f>
        <v>-0.10587917629340818</v>
      </c>
      <c r="C64" s="6"/>
      <c r="D64" s="6"/>
      <c r="E64" s="6"/>
      <c r="F64" s="6"/>
      <c r="G64" s="6"/>
      <c r="H64" s="6"/>
      <c r="I64" s="6"/>
      <c r="J64" s="6"/>
      <c r="K64" s="6"/>
      <c r="L64" s="6"/>
      <c r="M64" s="6"/>
    </row>
  </sheetData>
  <mergeCells count="10">
    <mergeCell ref="P36:T37"/>
    <mergeCell ref="P38:T39"/>
    <mergeCell ref="P40:T41"/>
    <mergeCell ref="P42:T49"/>
    <mergeCell ref="J1:O1"/>
    <mergeCell ref="J2:O2"/>
    <mergeCell ref="J3:O5"/>
    <mergeCell ref="J6:O7"/>
    <mergeCell ref="C33:C35"/>
    <mergeCell ref="P35:T35"/>
  </mergeCell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DATOS</vt:lpstr>
      <vt:lpstr>PROYECCION</vt:lpstr>
      <vt:lpstr>Sheet1</vt:lpstr>
      <vt:lpstr>PROYECCION_MEJORADA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Ossian Ramirez</dc:creator>
  <cp:lastModifiedBy>Ossian Ramirez</cp:lastModifiedBy>
  <dcterms:created xsi:type="dcterms:W3CDTF">2015-06-05T18:17:20Z</dcterms:created>
  <dcterms:modified xsi:type="dcterms:W3CDTF">2026-05-26T07:21:25Z</dcterms:modified>
</cp:coreProperties>
</file>