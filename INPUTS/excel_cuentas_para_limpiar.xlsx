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sia\Documents\SEMESTRES_FACULTAD\New_5th_semester\Contabilidad_de_seguros\PROYECTO\INPUTS\"/>
    </mc:Choice>
  </mc:AlternateContent>
  <xr:revisionPtr revIDLastSave="0" documentId="8_{16E9B5BB-D274-4DF7-932F-7E8661B23747}" xr6:coauthVersionLast="47" xr6:coauthVersionMax="47" xr10:uidLastSave="{00000000-0000-0000-0000-000000000000}"/>
  <bookViews>
    <workbookView xWindow="-120" yWindow="-120" windowWidth="29040" windowHeight="15840" xr2:uid="{2EC12D55-1CC6-45C7-AD24-E815AB727EF6}"/>
  </bookViews>
  <sheets>
    <sheet name="Razones Financiera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5" i="1" l="1"/>
  <c r="T45" i="1"/>
  <c r="N45" i="1"/>
  <c r="H45" i="1"/>
  <c r="B45" i="1"/>
  <c r="Z41" i="1"/>
  <c r="Z40" i="1" s="1"/>
  <c r="T41" i="1"/>
  <c r="N41" i="1"/>
  <c r="H41" i="1"/>
  <c r="B41" i="1"/>
  <c r="N40" i="1"/>
  <c r="H40" i="1"/>
  <c r="B40" i="1"/>
  <c r="Z39" i="1"/>
  <c r="T39" i="1"/>
  <c r="T40" i="1" s="1"/>
  <c r="N39" i="1"/>
  <c r="H39" i="1"/>
  <c r="B39" i="1"/>
  <c r="Z28" i="1"/>
  <c r="T28" i="1"/>
  <c r="N28" i="1"/>
  <c r="H28" i="1"/>
  <c r="B28" i="1"/>
  <c r="Z27" i="1"/>
  <c r="T27" i="1"/>
  <c r="N27" i="1"/>
  <c r="H27" i="1"/>
  <c r="B27" i="1"/>
  <c r="Z24" i="1"/>
  <c r="T24" i="1"/>
  <c r="N24" i="1"/>
  <c r="H24" i="1"/>
  <c r="B24" i="1"/>
  <c r="AC20" i="1"/>
  <c r="Z20" i="1"/>
  <c r="T20" i="1"/>
  <c r="N20" i="1"/>
  <c r="H20" i="1"/>
  <c r="B20" i="1"/>
  <c r="Z8" i="1"/>
  <c r="T8" i="1"/>
  <c r="N8" i="1"/>
  <c r="H8" i="1"/>
  <c r="B8" i="1"/>
  <c r="AC7" i="1"/>
  <c r="W7" i="1"/>
  <c r="Q7" i="1"/>
  <c r="K7" i="1"/>
  <c r="E7" i="1"/>
  <c r="AC5" i="1"/>
  <c r="W5" i="1"/>
  <c r="W2" i="1" s="1"/>
  <c r="K5" i="1"/>
  <c r="K2" i="1" s="1"/>
  <c r="E5" i="1"/>
  <c r="E2" i="1" s="1"/>
  <c r="AC2" i="1"/>
  <c r="Z2" i="1"/>
  <c r="T2" i="1"/>
  <c r="Q2" i="1"/>
  <c r="N2" i="1"/>
  <c r="H2" i="1"/>
  <c r="B2" i="1"/>
</calcChain>
</file>

<file path=xl/sharedStrings.xml><?xml version="1.0" encoding="utf-8"?>
<sst xmlns="http://schemas.openxmlformats.org/spreadsheetml/2006/main" count="220" uniqueCount="38">
  <si>
    <t>Activos Circulantes</t>
  </si>
  <si>
    <t>Activos Disponibles</t>
  </si>
  <si>
    <t>Caja y Bancos</t>
  </si>
  <si>
    <t>Inversiones</t>
  </si>
  <si>
    <t>Deudores</t>
  </si>
  <si>
    <t>Reaseguradores y Afianzadores</t>
  </si>
  <si>
    <t>Pasivo Exigible</t>
  </si>
  <si>
    <t>Pasivo Circulante</t>
  </si>
  <si>
    <t>Por Pólizas Vencidas</t>
  </si>
  <si>
    <t>Reserva para Obligaciones Laborales</t>
  </si>
  <si>
    <t>Agentes y Ajustadores</t>
  </si>
  <si>
    <t>Acreedores</t>
  </si>
  <si>
    <t>Diversos</t>
  </si>
  <si>
    <t>Reaseguradores y Reafianzadores</t>
  </si>
  <si>
    <t>Instituciones de Seguros y Fianzas</t>
  </si>
  <si>
    <t>Provisión para la Participación de los Trabajadores en la Utilidad</t>
  </si>
  <si>
    <t>Reservas Técnicas</t>
  </si>
  <si>
    <t>Provisión para el Pago de Impuestos</t>
  </si>
  <si>
    <t>Otras Obligaciones</t>
  </si>
  <si>
    <t>Activos Totales</t>
  </si>
  <si>
    <t>Pasivos Totales</t>
  </si>
  <si>
    <t>Activos Fijos</t>
  </si>
  <si>
    <t>Otros Activos</t>
  </si>
  <si>
    <t>Reserva de Riesgos en Curso</t>
  </si>
  <si>
    <t>Otras Inversiones Permanentes</t>
  </si>
  <si>
    <t>Reserva para Obligaciones Pendientes de Cumplir</t>
  </si>
  <si>
    <t>Capital Contable</t>
  </si>
  <si>
    <t>Costo de operación</t>
  </si>
  <si>
    <t>Prima Emitida</t>
  </si>
  <si>
    <t>Costo neto de adquisición</t>
  </si>
  <si>
    <t>Prima Retenida</t>
  </si>
  <si>
    <t>Costo de siniestralidad</t>
  </si>
  <si>
    <t>Primas de Retención Devengadas</t>
  </si>
  <si>
    <t>Prima Cedida</t>
  </si>
  <si>
    <t>Comisión del reaseguro cedido</t>
  </si>
  <si>
    <t>Utilidad neta</t>
  </si>
  <si>
    <t>Capital contable</t>
  </si>
  <si>
    <t>Capital 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</si>
</sst>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4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38CC-95FB-4E2A-9865-28D9DEA41E47}">
  <dimension ref="A1:AC46"/>
  <sheetViews>
    <sheetView tabSelected="1" zoomScale="80" zoomScaleNormal="80" workbookViewId="0">
      <selection activeCell="C19" sqref="C19"/>
    </sheetView>
  </sheetViews>
  <sheetFormatPr defaultColWidth="11.42578125" defaultRowHeight="15" x14ac:dyDescent="0.25"/>
  <cols>
    <col min="1" max="1" width="11.42578125" customWidth="1"/>
    <col min="2" max="2" width="20.140625" customWidth="1"/>
    <col min="5" max="5" width="25.85546875" bestFit="1" customWidth="1"/>
    <col min="8" max="8" width="20" customWidth="1"/>
    <col min="11" max="11" width="26.140625" bestFit="1" customWidth="1"/>
    <col min="14" max="14" width="23.7109375" bestFit="1" customWidth="1"/>
    <col min="17" max="17" width="26" bestFit="1" customWidth="1"/>
    <col min="20" max="20" width="23.7109375" bestFit="1" customWidth="1"/>
    <col min="23" max="23" width="19.140625" bestFit="1" customWidth="1"/>
    <col min="26" max="26" width="19.140625" bestFit="1" customWidth="1"/>
    <col min="29" max="29" width="19.140625" bestFit="1" customWidth="1"/>
  </cols>
  <sheetData>
    <row r="1" spans="1:29" x14ac:dyDescent="0.25">
      <c r="A1" s="1">
        <v>2021</v>
      </c>
      <c r="B1" s="1"/>
      <c r="C1" s="1"/>
      <c r="D1" s="1"/>
      <c r="E1" s="1"/>
      <c r="G1" s="1">
        <v>2022</v>
      </c>
      <c r="H1" s="1"/>
      <c r="I1" s="1"/>
      <c r="J1" s="1"/>
      <c r="K1" s="1"/>
      <c r="M1" s="1">
        <v>2023</v>
      </c>
      <c r="N1" s="1"/>
      <c r="O1" s="1"/>
      <c r="P1" s="1"/>
      <c r="Q1" s="1"/>
      <c r="S1" s="1">
        <v>2024</v>
      </c>
      <c r="T1" s="1"/>
      <c r="U1" s="1"/>
      <c r="V1" s="1"/>
      <c r="W1" s="1"/>
      <c r="Y1" s="1">
        <v>2025</v>
      </c>
      <c r="Z1" s="1"/>
      <c r="AA1" s="1"/>
      <c r="AB1" s="1"/>
      <c r="AC1" s="1"/>
    </row>
    <row r="2" spans="1:29" x14ac:dyDescent="0.25">
      <c r="A2" s="2" t="s">
        <v>0</v>
      </c>
      <c r="B2" s="3">
        <f>B4+B5+B6</f>
        <v>11317313938.380001</v>
      </c>
      <c r="D2" s="2" t="s">
        <v>1</v>
      </c>
      <c r="E2" s="3">
        <f>E4+E5</f>
        <v>117570329799.22</v>
      </c>
      <c r="G2" s="2" t="s">
        <v>0</v>
      </c>
      <c r="H2" s="3">
        <f>H4+H5+H6</f>
        <v>13042059574.25</v>
      </c>
      <c r="J2" s="2" t="s">
        <v>1</v>
      </c>
      <c r="K2" s="3">
        <f>K4+K5</f>
        <v>123334484366.49001</v>
      </c>
      <c r="M2" s="2" t="s">
        <v>0</v>
      </c>
      <c r="N2" s="3">
        <f>N4+N5+N6</f>
        <v>15965247839.43</v>
      </c>
      <c r="P2" s="2" t="s">
        <v>1</v>
      </c>
      <c r="Q2" s="3">
        <f>Q4+Q5</f>
        <v>126993160256.90001</v>
      </c>
      <c r="S2" s="2" t="s">
        <v>0</v>
      </c>
      <c r="T2" s="3">
        <f>T4+T5+T6</f>
        <v>21013269896.289997</v>
      </c>
      <c r="V2" s="2" t="s">
        <v>1</v>
      </c>
      <c r="W2" s="3">
        <f>W4+W5</f>
        <v>141399193472.98001</v>
      </c>
      <c r="Y2" s="2" t="s">
        <v>0</v>
      </c>
      <c r="Z2" s="3">
        <f>Z4+Z5+Z6</f>
        <v>21686224662.509998</v>
      </c>
      <c r="AB2" s="2" t="s">
        <v>1</v>
      </c>
      <c r="AC2" s="3">
        <f>AC4+AC5</f>
        <v>144967073382.56</v>
      </c>
    </row>
    <row r="4" spans="1:29" x14ac:dyDescent="0.25">
      <c r="A4" t="s">
        <v>2</v>
      </c>
      <c r="B4" s="4">
        <v>1060173763.8200001</v>
      </c>
      <c r="D4" t="s">
        <v>3</v>
      </c>
      <c r="E4" s="4">
        <v>116510156035.39999</v>
      </c>
      <c r="G4" t="s">
        <v>2</v>
      </c>
      <c r="H4" s="4">
        <v>1234310526.3900001</v>
      </c>
      <c r="J4" t="s">
        <v>3</v>
      </c>
      <c r="K4" s="4">
        <v>122100173840.10001</v>
      </c>
      <c r="M4" t="s">
        <v>2</v>
      </c>
      <c r="N4" s="4">
        <v>1191694549.1900001</v>
      </c>
      <c r="P4" t="s">
        <v>3</v>
      </c>
      <c r="Q4" s="4">
        <v>125801465707.71001</v>
      </c>
      <c r="S4" t="s">
        <v>2</v>
      </c>
      <c r="T4" s="4">
        <v>1680225124.1400001</v>
      </c>
      <c r="V4" t="s">
        <v>3</v>
      </c>
      <c r="W4" s="4">
        <v>139718968348.84</v>
      </c>
      <c r="Y4" t="s">
        <v>2</v>
      </c>
      <c r="Z4" s="4">
        <v>1709854657.5999999</v>
      </c>
      <c r="AB4" t="s">
        <v>3</v>
      </c>
      <c r="AC4" s="4">
        <v>143257218724.95999</v>
      </c>
    </row>
    <row r="5" spans="1:29" x14ac:dyDescent="0.25">
      <c r="A5" t="s">
        <v>4</v>
      </c>
      <c r="B5" s="4">
        <v>8698109302.3700008</v>
      </c>
      <c r="D5" t="s">
        <v>2</v>
      </c>
      <c r="E5" s="4">
        <f>B4</f>
        <v>1060173763.8200001</v>
      </c>
      <c r="G5" t="s">
        <v>4</v>
      </c>
      <c r="H5" s="4">
        <v>10619256272.540001</v>
      </c>
      <c r="J5" t="s">
        <v>2</v>
      </c>
      <c r="K5" s="4">
        <f>H4</f>
        <v>1234310526.3900001</v>
      </c>
      <c r="M5" t="s">
        <v>4</v>
      </c>
      <c r="N5" s="4">
        <v>12968554535.879999</v>
      </c>
      <c r="P5" t="s">
        <v>2</v>
      </c>
      <c r="Q5" s="4">
        <v>1191694549.1900001</v>
      </c>
      <c r="S5" t="s">
        <v>4</v>
      </c>
      <c r="T5" s="4">
        <v>17780957836.279999</v>
      </c>
      <c r="V5" t="s">
        <v>2</v>
      </c>
      <c r="W5" s="4">
        <f>T4</f>
        <v>1680225124.1400001</v>
      </c>
      <c r="Y5" t="s">
        <v>4</v>
      </c>
      <c r="Z5" s="4">
        <v>18396413522.869999</v>
      </c>
      <c r="AB5" t="s">
        <v>2</v>
      </c>
      <c r="AC5" s="4">
        <f>Z4</f>
        <v>1709854657.5999999</v>
      </c>
    </row>
    <row r="6" spans="1:29" x14ac:dyDescent="0.25">
      <c r="A6" t="s">
        <v>5</v>
      </c>
      <c r="B6" s="4">
        <v>1559030872.1900001</v>
      </c>
      <c r="G6" t="s">
        <v>5</v>
      </c>
      <c r="H6" s="4">
        <v>1188492775.3199999</v>
      </c>
      <c r="M6" t="s">
        <v>5</v>
      </c>
      <c r="N6" s="4">
        <v>1804998754.3599999</v>
      </c>
      <c r="S6" t="s">
        <v>5</v>
      </c>
      <c r="T6" s="4">
        <v>1552086935.8699999</v>
      </c>
      <c r="Y6" t="s">
        <v>5</v>
      </c>
      <c r="Z6" s="4">
        <v>1579956482.04</v>
      </c>
    </row>
    <row r="7" spans="1:29" x14ac:dyDescent="0.25">
      <c r="D7" s="2" t="s">
        <v>6</v>
      </c>
      <c r="E7" s="3">
        <f>SUM(E9:E15)</f>
        <v>15182840827.869999</v>
      </c>
      <c r="J7" s="2" t="s">
        <v>6</v>
      </c>
      <c r="K7" s="3">
        <f>SUM(K9:K15)</f>
        <v>15713229299.34</v>
      </c>
      <c r="P7" s="2" t="s">
        <v>6</v>
      </c>
      <c r="Q7" s="3">
        <f>SUM(Q9:Q15)</f>
        <v>18776703772.310001</v>
      </c>
      <c r="V7" s="2" t="s">
        <v>6</v>
      </c>
      <c r="W7" s="3">
        <f>SUM(W9:W15)</f>
        <v>22123933595.780003</v>
      </c>
      <c r="AB7" s="2" t="s">
        <v>6</v>
      </c>
      <c r="AC7" s="3">
        <f>SUM(AC9:AC15)</f>
        <v>24211170703.210003</v>
      </c>
    </row>
    <row r="8" spans="1:29" x14ac:dyDescent="0.25">
      <c r="A8" s="2" t="s">
        <v>7</v>
      </c>
      <c r="B8" s="3">
        <f>B10+B11+B12</f>
        <v>5861274291.9800005</v>
      </c>
      <c r="E8" s="4"/>
      <c r="G8" s="2" t="s">
        <v>7</v>
      </c>
      <c r="H8" s="3">
        <f>H10+H11+H12</f>
        <v>4880243274.21</v>
      </c>
      <c r="K8" s="4"/>
      <c r="M8" s="2" t="s">
        <v>7</v>
      </c>
      <c r="N8" s="3">
        <f>N10+N11+N12</f>
        <v>7688035546.6700001</v>
      </c>
      <c r="Q8" s="4"/>
      <c r="S8" s="2" t="s">
        <v>7</v>
      </c>
      <c r="T8" s="3">
        <f>T10+T11+T12</f>
        <v>9035855981.2799988</v>
      </c>
      <c r="W8" s="4"/>
      <c r="Y8" s="2" t="s">
        <v>7</v>
      </c>
      <c r="Z8" s="3">
        <f>Z10+Z11+Z12</f>
        <v>8624002947.2499981</v>
      </c>
      <c r="AC8" s="4"/>
    </row>
    <row r="9" spans="1:29" x14ac:dyDescent="0.25">
      <c r="D9" t="s">
        <v>8</v>
      </c>
      <c r="E9" s="4">
        <v>7223588539.75</v>
      </c>
      <c r="J9" t="s">
        <v>8</v>
      </c>
      <c r="K9" s="4">
        <v>6851811076.5200005</v>
      </c>
      <c r="P9" t="s">
        <v>8</v>
      </c>
      <c r="Q9" s="4">
        <v>6721447212.1700001</v>
      </c>
      <c r="V9" t="s">
        <v>8</v>
      </c>
      <c r="W9" s="4">
        <v>7509164993.8299999</v>
      </c>
      <c r="AB9" t="s">
        <v>8</v>
      </c>
      <c r="AC9" s="4">
        <v>8008929932.0600004</v>
      </c>
    </row>
    <row r="10" spans="1:29" x14ac:dyDescent="0.25">
      <c r="A10" t="s">
        <v>9</v>
      </c>
      <c r="B10" s="4">
        <v>176805714.59</v>
      </c>
      <c r="D10" t="s">
        <v>10</v>
      </c>
      <c r="E10" s="4">
        <v>831458413.49000001</v>
      </c>
      <c r="G10" t="s">
        <v>9</v>
      </c>
      <c r="H10" s="4">
        <v>225086388.25</v>
      </c>
      <c r="J10" t="s">
        <v>10</v>
      </c>
      <c r="K10" s="4">
        <v>1051734523.72</v>
      </c>
      <c r="M10" t="s">
        <v>9</v>
      </c>
      <c r="N10" s="4">
        <v>284826600.33999997</v>
      </c>
      <c r="P10" t="s">
        <v>10</v>
      </c>
      <c r="Q10" s="4">
        <v>1096752006.7</v>
      </c>
      <c r="S10" t="s">
        <v>9</v>
      </c>
      <c r="T10" s="4">
        <v>263681769</v>
      </c>
      <c r="V10" t="s">
        <v>10</v>
      </c>
      <c r="W10" s="4">
        <v>1081659643.3699999</v>
      </c>
      <c r="Y10" t="s">
        <v>9</v>
      </c>
      <c r="Z10" s="4">
        <v>385315120.20999998</v>
      </c>
      <c r="AB10" t="s">
        <v>10</v>
      </c>
      <c r="AC10" s="4">
        <v>1223433403.3499999</v>
      </c>
    </row>
    <row r="11" spans="1:29" x14ac:dyDescent="0.25">
      <c r="A11" t="s">
        <v>11</v>
      </c>
      <c r="B11" s="4">
        <v>5593052699.0799999</v>
      </c>
      <c r="D11" t="s">
        <v>12</v>
      </c>
      <c r="E11" s="4">
        <v>4761542493.9300003</v>
      </c>
      <c r="G11" t="s">
        <v>11</v>
      </c>
      <c r="H11" s="4">
        <v>4633146619.9700003</v>
      </c>
      <c r="J11" t="s">
        <v>12</v>
      </c>
      <c r="K11" s="4">
        <v>3581412096.25</v>
      </c>
      <c r="M11" t="s">
        <v>11</v>
      </c>
      <c r="N11" s="4">
        <v>7007649319.8699999</v>
      </c>
      <c r="P11" t="s">
        <v>12</v>
      </c>
      <c r="Q11" s="4">
        <v>5910897313.1700001</v>
      </c>
      <c r="S11" t="s">
        <v>11</v>
      </c>
      <c r="T11" s="4">
        <v>8701993468.3799992</v>
      </c>
      <c r="V11" t="s">
        <v>12</v>
      </c>
      <c r="W11" s="4">
        <v>7620333825.0100002</v>
      </c>
      <c r="Y11" t="s">
        <v>11</v>
      </c>
      <c r="Z11" s="4">
        <v>8234603347.4799995</v>
      </c>
      <c r="AB11" t="s">
        <v>12</v>
      </c>
      <c r="AC11" s="4">
        <v>7011169944.1300001</v>
      </c>
    </row>
    <row r="12" spans="1:29" x14ac:dyDescent="0.25">
      <c r="A12" t="s">
        <v>13</v>
      </c>
      <c r="B12" s="4">
        <v>91415878.310000002</v>
      </c>
      <c r="D12" t="s">
        <v>14</v>
      </c>
      <c r="E12" s="4">
        <v>20116419.879999999</v>
      </c>
      <c r="G12" t="s">
        <v>13</v>
      </c>
      <c r="H12" s="4">
        <v>22010265.989999998</v>
      </c>
      <c r="J12" t="s">
        <v>14</v>
      </c>
      <c r="K12" s="4">
        <v>22010266</v>
      </c>
      <c r="M12" t="s">
        <v>13</v>
      </c>
      <c r="N12" s="4">
        <v>395559626.45999998</v>
      </c>
      <c r="P12" t="s">
        <v>14</v>
      </c>
      <c r="Q12" s="4">
        <v>395559626.47000003</v>
      </c>
      <c r="S12" t="s">
        <v>13</v>
      </c>
      <c r="T12" s="4">
        <v>70180743.900000006</v>
      </c>
      <c r="V12" t="s">
        <v>14</v>
      </c>
      <c r="W12" s="4">
        <v>70180743.900000006</v>
      </c>
      <c r="Y12" t="s">
        <v>13</v>
      </c>
      <c r="Z12" s="4">
        <v>4084479.56</v>
      </c>
      <c r="AB12" t="s">
        <v>14</v>
      </c>
      <c r="AC12" s="4">
        <v>4084479.56</v>
      </c>
    </row>
    <row r="13" spans="1:29" x14ac:dyDescent="0.25">
      <c r="D13" t="s">
        <v>15</v>
      </c>
      <c r="E13" s="4">
        <v>133392733.56</v>
      </c>
      <c r="J13" t="s">
        <v>15</v>
      </c>
      <c r="K13" s="4">
        <v>166071971.25999999</v>
      </c>
      <c r="P13" t="s">
        <v>15</v>
      </c>
      <c r="Q13" s="4">
        <v>171214267.09999999</v>
      </c>
      <c r="V13" t="s">
        <v>15</v>
      </c>
      <c r="W13" s="4">
        <v>195510807.69999999</v>
      </c>
      <c r="AB13" t="s">
        <v>15</v>
      </c>
      <c r="AC13" s="4">
        <v>108321251.59</v>
      </c>
    </row>
    <row r="14" spans="1:29" x14ac:dyDescent="0.25">
      <c r="A14" s="2" t="s">
        <v>16</v>
      </c>
      <c r="B14" s="3">
        <v>110709728638.48</v>
      </c>
      <c r="D14" t="s">
        <v>17</v>
      </c>
      <c r="E14" s="4">
        <v>1294944637.5799999</v>
      </c>
      <c r="G14" s="2" t="s">
        <v>16</v>
      </c>
      <c r="H14" s="3">
        <v>99063870150.880005</v>
      </c>
      <c r="J14" t="s">
        <v>17</v>
      </c>
      <c r="K14" s="4">
        <v>3003347447.79</v>
      </c>
      <c r="M14" s="2" t="s">
        <v>16</v>
      </c>
      <c r="N14" s="3">
        <v>119359187908.57001</v>
      </c>
      <c r="P14" t="s">
        <v>17</v>
      </c>
      <c r="Q14" s="4">
        <v>3298830799.9099998</v>
      </c>
      <c r="S14" s="2" t="s">
        <v>16</v>
      </c>
      <c r="T14" s="3">
        <v>129192983078.14999</v>
      </c>
      <c r="V14" t="s">
        <v>17</v>
      </c>
      <c r="W14" s="4">
        <v>4098612121.48</v>
      </c>
      <c r="Y14" s="2" t="s">
        <v>16</v>
      </c>
      <c r="Z14" s="3">
        <v>129993857280.42999</v>
      </c>
      <c r="AB14" t="s">
        <v>17</v>
      </c>
      <c r="AC14" s="4">
        <v>3602574936.98</v>
      </c>
    </row>
    <row r="15" spans="1:29" x14ac:dyDescent="0.25">
      <c r="D15" t="s">
        <v>18</v>
      </c>
      <c r="E15" s="4">
        <v>917797589.67999995</v>
      </c>
      <c r="J15" t="s">
        <v>18</v>
      </c>
      <c r="K15" s="4">
        <v>1036841917.8</v>
      </c>
      <c r="P15" t="s">
        <v>18</v>
      </c>
      <c r="Q15" s="4">
        <v>1182002546.79</v>
      </c>
      <c r="V15" t="s">
        <v>18</v>
      </c>
      <c r="W15" s="4">
        <v>1548471460.49</v>
      </c>
      <c r="AB15" t="s">
        <v>18</v>
      </c>
      <c r="AC15" s="4">
        <v>4252656755.54</v>
      </c>
    </row>
    <row r="17" spans="1:29" x14ac:dyDescent="0.25">
      <c r="A17" t="s">
        <v>19</v>
      </c>
      <c r="B17" s="4">
        <v>133283984426.36</v>
      </c>
      <c r="G17" t="s">
        <v>19</v>
      </c>
      <c r="H17" s="4">
        <v>141272706810</v>
      </c>
      <c r="M17" t="s">
        <v>19</v>
      </c>
      <c r="N17" s="4">
        <v>151390803263.73001</v>
      </c>
      <c r="S17" t="s">
        <v>19</v>
      </c>
      <c r="T17" s="4">
        <v>168522049636.82999</v>
      </c>
      <c r="Y17" t="s">
        <v>19</v>
      </c>
      <c r="Z17" s="4">
        <v>173446854486.07999</v>
      </c>
    </row>
    <row r="18" spans="1:29" x14ac:dyDescent="0.25">
      <c r="A18" t="s">
        <v>20</v>
      </c>
      <c r="B18" s="4">
        <v>120435848309.88</v>
      </c>
      <c r="G18" t="s">
        <v>20</v>
      </c>
      <c r="H18" s="4">
        <v>122567653571.72</v>
      </c>
      <c r="M18" t="s">
        <v>20</v>
      </c>
      <c r="N18" s="4">
        <v>131807809729.8</v>
      </c>
      <c r="S18" t="s">
        <v>20</v>
      </c>
      <c r="T18" s="4">
        <v>145498393434.5</v>
      </c>
      <c r="Y18" t="s">
        <v>20</v>
      </c>
      <c r="Z18" s="4">
        <v>146714678073.87</v>
      </c>
    </row>
    <row r="20" spans="1:29" x14ac:dyDescent="0.25">
      <c r="A20" t="s">
        <v>21</v>
      </c>
      <c r="B20" s="4">
        <f>E20+E21</f>
        <v>5456514452.5699997</v>
      </c>
      <c r="D20" t="s">
        <v>22</v>
      </c>
      <c r="E20" s="4">
        <v>4973128332.21</v>
      </c>
      <c r="G20" t="s">
        <v>21</v>
      </c>
      <c r="H20" s="4">
        <f>K20+K21</f>
        <v>6130473395.6400003</v>
      </c>
      <c r="J20" t="s">
        <v>22</v>
      </c>
      <c r="K20" s="4">
        <v>6130473395.6400003</v>
      </c>
      <c r="M20" t="s">
        <v>21</v>
      </c>
      <c r="N20" s="4">
        <f>Q20+Q21</f>
        <v>6835564319.2299995</v>
      </c>
      <c r="P20" t="s">
        <v>22</v>
      </c>
      <c r="Q20" s="4">
        <v>6835564319.2299995</v>
      </c>
      <c r="S20" t="s">
        <v>21</v>
      </c>
      <c r="T20" s="4">
        <f>W20+W21</f>
        <v>7789811391.6999998</v>
      </c>
      <c r="V20" t="s">
        <v>22</v>
      </c>
      <c r="W20" s="4">
        <v>7789811391.6999998</v>
      </c>
      <c r="Y20" t="s">
        <v>21</v>
      </c>
      <c r="Z20" s="4">
        <f>AC20+AC21</f>
        <v>8503411098.6099997</v>
      </c>
      <c r="AB20" t="s">
        <v>22</v>
      </c>
      <c r="AC20" s="4">
        <f>8503411098.61</f>
        <v>8503411098.6099997</v>
      </c>
    </row>
    <row r="21" spans="1:29" x14ac:dyDescent="0.25">
      <c r="A21" t="s">
        <v>23</v>
      </c>
      <c r="B21" s="4">
        <v>95836530095.740005</v>
      </c>
      <c r="D21" t="s">
        <v>24</v>
      </c>
      <c r="E21" s="4">
        <v>483386120.36000001</v>
      </c>
      <c r="G21" t="s">
        <v>23</v>
      </c>
      <c r="H21" s="4">
        <v>99063870150.880005</v>
      </c>
      <c r="J21" t="s">
        <v>24</v>
      </c>
      <c r="K21" s="4">
        <v>0</v>
      </c>
      <c r="M21" t="s">
        <v>23</v>
      </c>
      <c r="N21" s="4">
        <v>104712936711.75</v>
      </c>
      <c r="P21" t="s">
        <v>24</v>
      </c>
      <c r="Q21" s="4">
        <v>0</v>
      </c>
      <c r="S21" t="s">
        <v>23</v>
      </c>
      <c r="T21" s="4">
        <v>109682578271.89</v>
      </c>
      <c r="V21" t="s">
        <v>24</v>
      </c>
      <c r="W21" s="4">
        <v>0</v>
      </c>
      <c r="Y21" t="s">
        <v>23</v>
      </c>
      <c r="Z21" s="4">
        <v>110968784237.8</v>
      </c>
      <c r="AB21" t="s">
        <v>24</v>
      </c>
      <c r="AC21" s="4">
        <v>0</v>
      </c>
    </row>
    <row r="22" spans="1:29" x14ac:dyDescent="0.25">
      <c r="A22" t="s">
        <v>25</v>
      </c>
      <c r="B22" s="4">
        <v>14873198542.74</v>
      </c>
      <c r="G22" t="s">
        <v>25</v>
      </c>
      <c r="H22" s="4">
        <v>13735205124.66</v>
      </c>
      <c r="M22" t="s">
        <v>25</v>
      </c>
      <c r="N22" s="4">
        <v>14646251196.82</v>
      </c>
      <c r="S22" t="s">
        <v>25</v>
      </c>
      <c r="T22" s="4">
        <v>19510404806.259998</v>
      </c>
      <c r="Y22" t="s">
        <v>25</v>
      </c>
      <c r="Z22" s="4">
        <v>19025073042.630001</v>
      </c>
    </row>
    <row r="24" spans="1:29" x14ac:dyDescent="0.25">
      <c r="A24" t="s">
        <v>20</v>
      </c>
      <c r="B24" s="4">
        <f>B18</f>
        <v>120435848309.88</v>
      </c>
      <c r="G24" t="s">
        <v>20</v>
      </c>
      <c r="H24" s="4">
        <f>H18</f>
        <v>122567653571.72</v>
      </c>
      <c r="M24" t="s">
        <v>20</v>
      </c>
      <c r="N24" s="4">
        <f>N18</f>
        <v>131807809729.8</v>
      </c>
      <c r="S24" t="s">
        <v>20</v>
      </c>
      <c r="T24" s="4">
        <f>T18</f>
        <v>145498393434.5</v>
      </c>
      <c r="Y24" t="s">
        <v>20</v>
      </c>
      <c r="Z24" s="4">
        <f>Z18</f>
        <v>146714678073.87</v>
      </c>
    </row>
    <row r="25" spans="1:29" x14ac:dyDescent="0.25">
      <c r="A25" t="s">
        <v>26</v>
      </c>
      <c r="B25" s="4">
        <v>12848136116.48</v>
      </c>
      <c r="G25" t="s">
        <v>26</v>
      </c>
      <c r="H25" s="4">
        <v>18705053238.279999</v>
      </c>
      <c r="M25" t="s">
        <v>26</v>
      </c>
      <c r="N25" s="4">
        <v>19582993533.93</v>
      </c>
      <c r="S25" t="s">
        <v>26</v>
      </c>
      <c r="T25" s="4">
        <v>23023656202.330002</v>
      </c>
      <c r="Y25" t="s">
        <v>26</v>
      </c>
      <c r="Z25" s="4">
        <v>26732176412.209999</v>
      </c>
    </row>
    <row r="27" spans="1:29" x14ac:dyDescent="0.25">
      <c r="A27" t="s">
        <v>16</v>
      </c>
      <c r="B27" s="4">
        <f>B14</f>
        <v>110709728638.48</v>
      </c>
      <c r="G27" t="s">
        <v>16</v>
      </c>
      <c r="H27" s="4">
        <f>H14</f>
        <v>99063870150.880005</v>
      </c>
      <c r="M27" t="s">
        <v>16</v>
      </c>
      <c r="N27" s="4">
        <f>N14</f>
        <v>119359187908.57001</v>
      </c>
      <c r="S27" t="s">
        <v>16</v>
      </c>
      <c r="T27" s="4">
        <f>T14</f>
        <v>129192983078.14999</v>
      </c>
      <c r="Y27" t="s">
        <v>16</v>
      </c>
      <c r="Z27" s="4">
        <f>Z14</f>
        <v>129993857280.42999</v>
      </c>
    </row>
    <row r="28" spans="1:29" x14ac:dyDescent="0.25">
      <c r="A28" t="s">
        <v>26</v>
      </c>
      <c r="B28" s="4">
        <f>B25</f>
        <v>12848136116.48</v>
      </c>
      <c r="G28" t="s">
        <v>26</v>
      </c>
      <c r="H28" s="4">
        <f>H25</f>
        <v>18705053238.279999</v>
      </c>
      <c r="M28" t="s">
        <v>26</v>
      </c>
      <c r="N28" s="4">
        <f>N25</f>
        <v>19582993533.93</v>
      </c>
      <c r="S28" t="s">
        <v>26</v>
      </c>
      <c r="T28" s="4">
        <f>T25</f>
        <v>23023656202.330002</v>
      </c>
      <c r="Y28" t="s">
        <v>26</v>
      </c>
      <c r="Z28" s="4">
        <f>Z25</f>
        <v>26732176412.209999</v>
      </c>
    </row>
    <row r="30" spans="1:29" x14ac:dyDescent="0.25">
      <c r="A30" t="s">
        <v>27</v>
      </c>
      <c r="B30" s="4">
        <v>4302525869.3500004</v>
      </c>
      <c r="G30" t="s">
        <v>27</v>
      </c>
      <c r="H30" s="4">
        <v>4452289443.4799995</v>
      </c>
      <c r="M30" t="s">
        <v>27</v>
      </c>
      <c r="N30" s="4">
        <v>4938683866.21</v>
      </c>
      <c r="S30" t="s">
        <v>27</v>
      </c>
      <c r="T30" s="4">
        <v>5294249066.1899996</v>
      </c>
      <c r="Y30" t="s">
        <v>27</v>
      </c>
      <c r="Z30" s="4">
        <v>5254060908.04</v>
      </c>
    </row>
    <row r="31" spans="1:29" x14ac:dyDescent="0.25">
      <c r="A31" t="s">
        <v>28</v>
      </c>
      <c r="B31" s="4">
        <v>62441218098.580002</v>
      </c>
      <c r="G31" t="s">
        <v>28</v>
      </c>
      <c r="H31" s="4">
        <v>69680096878.970001</v>
      </c>
      <c r="M31" t="s">
        <v>28</v>
      </c>
      <c r="N31" s="4">
        <v>79147328157.25</v>
      </c>
      <c r="S31" t="s">
        <v>28</v>
      </c>
      <c r="T31" s="4">
        <v>84281015919.929993</v>
      </c>
      <c r="Y31" t="s">
        <v>28</v>
      </c>
      <c r="Z31" s="4">
        <v>90255206894.380005</v>
      </c>
    </row>
    <row r="33" spans="1:26" x14ac:dyDescent="0.25">
      <c r="A33" t="s">
        <v>29</v>
      </c>
      <c r="B33" s="4">
        <v>8723391842.2399998</v>
      </c>
      <c r="G33" t="s">
        <v>29</v>
      </c>
      <c r="H33" s="4">
        <v>9781560771.6399994</v>
      </c>
      <c r="M33" t="s">
        <v>29</v>
      </c>
      <c r="N33" s="4">
        <v>13643040949.950001</v>
      </c>
      <c r="S33" t="s">
        <v>29</v>
      </c>
      <c r="T33" s="4">
        <v>12754954584.5</v>
      </c>
      <c r="Y33" t="s">
        <v>29</v>
      </c>
      <c r="Z33" s="4">
        <v>13517235117.35</v>
      </c>
    </row>
    <row r="34" spans="1:26" x14ac:dyDescent="0.25">
      <c r="A34" t="s">
        <v>30</v>
      </c>
      <c r="B34" s="4">
        <v>60668284859.970001</v>
      </c>
      <c r="G34" t="s">
        <v>30</v>
      </c>
      <c r="H34" s="4">
        <v>66778672152.190002</v>
      </c>
      <c r="M34" t="s">
        <v>30</v>
      </c>
      <c r="N34" s="4">
        <v>76393639898.029999</v>
      </c>
      <c r="S34" t="s">
        <v>30</v>
      </c>
      <c r="T34" s="4">
        <v>80968208507.570007</v>
      </c>
      <c r="Y34" t="s">
        <v>30</v>
      </c>
      <c r="Z34" s="4">
        <v>86665777061.309998</v>
      </c>
    </row>
    <row r="36" spans="1:26" x14ac:dyDescent="0.25">
      <c r="A36" t="s">
        <v>31</v>
      </c>
      <c r="B36" s="4">
        <v>49202382646.720001</v>
      </c>
      <c r="G36" t="s">
        <v>31</v>
      </c>
      <c r="H36" s="4">
        <v>45669918416.410004</v>
      </c>
      <c r="M36" t="s">
        <v>31</v>
      </c>
      <c r="N36" s="4">
        <v>50692296162.019997</v>
      </c>
      <c r="S36" t="s">
        <v>31</v>
      </c>
      <c r="T36" s="4">
        <v>58294248763.230003</v>
      </c>
      <c r="Y36" t="s">
        <v>31</v>
      </c>
      <c r="Z36" s="4">
        <v>65734909059.07</v>
      </c>
    </row>
    <row r="37" spans="1:26" x14ac:dyDescent="0.25">
      <c r="A37" t="s">
        <v>32</v>
      </c>
      <c r="B37" s="4">
        <v>57917932497.660004</v>
      </c>
      <c r="G37" t="s">
        <v>32</v>
      </c>
      <c r="H37" s="4">
        <v>61854079021.209999</v>
      </c>
      <c r="M37" t="s">
        <v>32</v>
      </c>
      <c r="N37" s="4">
        <v>70116005691.440002</v>
      </c>
      <c r="S37" t="s">
        <v>32</v>
      </c>
      <c r="T37" s="4">
        <v>76777661051.960007</v>
      </c>
      <c r="Y37" t="s">
        <v>32</v>
      </c>
      <c r="Z37" s="4">
        <v>85048136203.669998</v>
      </c>
    </row>
    <row r="38" spans="1:26" x14ac:dyDescent="0.25">
      <c r="B38" s="4"/>
    </row>
    <row r="39" spans="1:26" x14ac:dyDescent="0.25">
      <c r="A39" t="s">
        <v>28</v>
      </c>
      <c r="B39" s="4">
        <f>B31</f>
        <v>62441218098.580002</v>
      </c>
      <c r="G39" t="s">
        <v>28</v>
      </c>
      <c r="H39" s="4">
        <f>H31</f>
        <v>69680096878.970001</v>
      </c>
      <c r="M39" t="s">
        <v>28</v>
      </c>
      <c r="N39" s="4">
        <f>N31</f>
        <v>79147328157.25</v>
      </c>
      <c r="S39" t="s">
        <v>28</v>
      </c>
      <c r="T39" s="4">
        <f>T31</f>
        <v>84281015919.929993</v>
      </c>
      <c r="Y39" t="s">
        <v>28</v>
      </c>
      <c r="Z39" s="4">
        <f>Z31</f>
        <v>90255206894.380005</v>
      </c>
    </row>
    <row r="40" spans="1:26" x14ac:dyDescent="0.25">
      <c r="A40" t="s">
        <v>33</v>
      </c>
      <c r="B40" s="4">
        <f>B39-B41</f>
        <v>1772933238.6100006</v>
      </c>
      <c r="G40" t="s">
        <v>33</v>
      </c>
      <c r="H40" s="4">
        <f>H39-H41</f>
        <v>2901424726.7799988</v>
      </c>
      <c r="M40" t="s">
        <v>33</v>
      </c>
      <c r="N40" s="4">
        <f>N39-N41</f>
        <v>2753688259.2200012</v>
      </c>
      <c r="S40" t="s">
        <v>33</v>
      </c>
      <c r="T40" s="4">
        <f>T39-T41</f>
        <v>3312807412.3599854</v>
      </c>
      <c r="Y40" t="s">
        <v>33</v>
      </c>
      <c r="Z40" s="4">
        <f>Z39-Z41</f>
        <v>3589429833.0700073</v>
      </c>
    </row>
    <row r="41" spans="1:26" x14ac:dyDescent="0.25">
      <c r="A41" t="s">
        <v>30</v>
      </c>
      <c r="B41" s="4">
        <f>B34</f>
        <v>60668284859.970001</v>
      </c>
      <c r="G41" t="s">
        <v>30</v>
      </c>
      <c r="H41" s="4">
        <f>H34</f>
        <v>66778672152.190002</v>
      </c>
      <c r="M41" t="s">
        <v>30</v>
      </c>
      <c r="N41" s="4">
        <f>N34</f>
        <v>76393639898.029999</v>
      </c>
      <c r="S41" t="s">
        <v>30</v>
      </c>
      <c r="T41" s="4">
        <f>T34</f>
        <v>80968208507.570007</v>
      </c>
      <c r="Y41" t="s">
        <v>30</v>
      </c>
      <c r="Z41" s="4">
        <f>Z34</f>
        <v>86665777061.309998</v>
      </c>
    </row>
    <row r="42" spans="1:26" x14ac:dyDescent="0.25">
      <c r="A42" t="s">
        <v>34</v>
      </c>
      <c r="B42" s="5">
        <v>272354851.42000002</v>
      </c>
      <c r="G42" t="s">
        <v>34</v>
      </c>
      <c r="H42" s="5">
        <v>446863432.51999998</v>
      </c>
      <c r="M42" t="s">
        <v>34</v>
      </c>
      <c r="N42" s="5">
        <v>452553413.19999999</v>
      </c>
      <c r="S42" t="s">
        <v>34</v>
      </c>
      <c r="T42" s="5">
        <v>497220671.01999998</v>
      </c>
      <c r="Y42" t="s">
        <v>34</v>
      </c>
      <c r="Z42" s="5">
        <v>540705144.86000001</v>
      </c>
    </row>
    <row r="44" spans="1:26" x14ac:dyDescent="0.25">
      <c r="A44" t="s">
        <v>35</v>
      </c>
      <c r="B44" s="4">
        <v>3078499572.1100001</v>
      </c>
      <c r="G44" t="s">
        <v>35</v>
      </c>
      <c r="H44" s="4">
        <v>9786050230.7900009</v>
      </c>
      <c r="M44" t="s">
        <v>35</v>
      </c>
      <c r="N44" s="4">
        <v>8178417872.4499998</v>
      </c>
      <c r="S44" t="s">
        <v>35</v>
      </c>
      <c r="T44" s="4">
        <v>9828024609.2999992</v>
      </c>
      <c r="Y44" t="s">
        <v>35</v>
      </c>
      <c r="Z44" s="4">
        <v>9978871921.6599998</v>
      </c>
    </row>
    <row r="45" spans="1:26" x14ac:dyDescent="0.25">
      <c r="A45" t="s">
        <v>36</v>
      </c>
      <c r="B45" s="4">
        <f>B25</f>
        <v>12848136116.48</v>
      </c>
      <c r="G45" t="s">
        <v>36</v>
      </c>
      <c r="H45" s="4">
        <f>H25</f>
        <v>18705053238.279999</v>
      </c>
      <c r="M45" t="s">
        <v>36</v>
      </c>
      <c r="N45" s="4">
        <f>N25</f>
        <v>19582993533.93</v>
      </c>
      <c r="S45" t="s">
        <v>36</v>
      </c>
      <c r="T45" s="4">
        <f>T25</f>
        <v>23023656202.330002</v>
      </c>
      <c r="Y45" t="s">
        <v>36</v>
      </c>
      <c r="Z45" s="4">
        <f>Z25</f>
        <v>26732176412.209999</v>
      </c>
    </row>
    <row r="46" spans="1:26" x14ac:dyDescent="0.25">
      <c r="A46" t="s">
        <v>37</v>
      </c>
      <c r="B46" s="4">
        <v>6796550994.7399998</v>
      </c>
      <c r="G46" t="s">
        <v>37</v>
      </c>
      <c r="H46" s="4">
        <v>6796550994.7399998</v>
      </c>
      <c r="M46" t="s">
        <v>37</v>
      </c>
      <c r="N46" s="4">
        <v>6796550994.7399998</v>
      </c>
      <c r="S46" t="s">
        <v>37</v>
      </c>
      <c r="T46" s="4">
        <v>6796550994.7399998</v>
      </c>
      <c r="Y46" t="s">
        <v>37</v>
      </c>
      <c r="Z46" s="4">
        <v>6796550994.7399998</v>
      </c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Razones Financieras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Ossian Ramirez</dc:creator>
  <cp:lastModifiedBy>Ossian Ramirez</cp:lastModifiedBy>
  <dcterms:created xsi:type="dcterms:W3CDTF">2026-05-28T03:02:26Z</dcterms:created>
  <dcterms:modified xsi:type="dcterms:W3CDTF">2026-05-28T03:02:53Z</dcterms:modified>
</cp:coreProperties>
</file>