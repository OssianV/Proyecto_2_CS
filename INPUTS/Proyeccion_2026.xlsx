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ssia\Documents\SEMESTRES_FACULTAD\New_5th_semester\Contabilidad_de_seguros\PROYECTO\INPUTS\"/>
    </mc:Choice>
  </mc:AlternateContent>
  <xr:revisionPtr revIDLastSave="0" documentId="13_ncr:1_{0D038488-6B7F-4849-AE55-AAB8CDA03E5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7" i="1" l="1"/>
  <c r="J26" i="1"/>
  <c r="G35" i="1"/>
  <c r="F35" i="1"/>
  <c r="E35" i="1"/>
  <c r="D35" i="1"/>
  <c r="C35" i="1"/>
  <c r="B35" i="1"/>
  <c r="J23" i="1"/>
  <c r="J22" i="1"/>
  <c r="J21" i="1"/>
  <c r="G40" i="1"/>
  <c r="B40" i="1"/>
  <c r="J18" i="1"/>
  <c r="J17" i="1"/>
  <c r="F40" i="1"/>
  <c r="E40" i="1"/>
  <c r="D40" i="1"/>
  <c r="C40" i="1"/>
  <c r="J4" i="1"/>
  <c r="G34" i="1"/>
  <c r="F34" i="1"/>
  <c r="E34" i="1"/>
  <c r="D34" i="1"/>
  <c r="C34" i="1"/>
  <c r="B34" i="1"/>
  <c r="J14" i="1"/>
  <c r="J13" i="1"/>
  <c r="J12" i="1"/>
  <c r="G33" i="1"/>
  <c r="F33" i="1"/>
  <c r="E33" i="1"/>
  <c r="D33" i="1"/>
  <c r="C33" i="1"/>
  <c r="B33" i="1"/>
  <c r="E32" i="1"/>
  <c r="D32" i="1"/>
  <c r="C32" i="1"/>
  <c r="F4" i="1"/>
  <c r="F32" i="1" s="1"/>
  <c r="E4" i="1"/>
  <c r="D4" i="1"/>
  <c r="C4" i="1"/>
  <c r="B4" i="1"/>
  <c r="J9" i="1"/>
  <c r="F31" i="1"/>
  <c r="E31" i="1"/>
  <c r="D31" i="1"/>
  <c r="C31" i="1"/>
  <c r="B31" i="1"/>
  <c r="G31" i="1" s="1"/>
  <c r="J8" i="1" s="1"/>
  <c r="J5" i="1"/>
  <c r="J3" i="1"/>
  <c r="G30" i="1"/>
  <c r="F30" i="1"/>
  <c r="E30" i="1"/>
  <c r="D30" i="1"/>
  <c r="C30" i="1"/>
  <c r="C20" i="1"/>
  <c r="F26" i="1"/>
  <c r="E26" i="1"/>
  <c r="D26" i="1"/>
  <c r="C26" i="1"/>
  <c r="F24" i="1"/>
  <c r="E24" i="1"/>
  <c r="D24" i="1"/>
  <c r="C24" i="1"/>
  <c r="B24" i="1"/>
  <c r="F22" i="1"/>
  <c r="E22" i="1"/>
  <c r="D22" i="1"/>
  <c r="C22" i="1"/>
  <c r="B22" i="1"/>
  <c r="F20" i="1"/>
  <c r="E20" i="1"/>
  <c r="D20" i="1"/>
  <c r="F18" i="1"/>
  <c r="E18" i="1"/>
  <c r="D18" i="1"/>
  <c r="C18" i="1"/>
  <c r="B18" i="1"/>
  <c r="B32" i="1" l="1"/>
  <c r="G32" i="1" s="1"/>
</calcChain>
</file>

<file path=xl/sharedStrings.xml><?xml version="1.0" encoding="utf-8"?>
<sst xmlns="http://schemas.openxmlformats.org/spreadsheetml/2006/main" count="77" uniqueCount="55">
  <si>
    <t>DATOS</t>
  </si>
  <si>
    <t>2021</t>
  </si>
  <si>
    <t>2022</t>
  </si>
  <si>
    <t>2023</t>
  </si>
  <si>
    <t>2024</t>
  </si>
  <si>
    <t>2025</t>
  </si>
  <si>
    <t xml:space="preserve">Prima emitida </t>
  </si>
  <si>
    <t>Incremento/Decremento (%)</t>
  </si>
  <si>
    <t>N/A</t>
  </si>
  <si>
    <t>Costo Neto de Adquisición</t>
  </si>
  <si>
    <t>% de costo de admin/prima</t>
  </si>
  <si>
    <t>Costo Neto de Siniestralidad</t>
  </si>
  <si>
    <t>Gastos de operación Netos</t>
  </si>
  <si>
    <t>% de costos de operación/prima</t>
  </si>
  <si>
    <t>Utilidad/perdida del ejercicio</t>
  </si>
  <si>
    <t>Rentabilidad del ejercicio</t>
  </si>
  <si>
    <t>Resultado Integral de Financiamiento</t>
  </si>
  <si>
    <t>Primas cedidas</t>
  </si>
  <si>
    <t>Prima cedida</t>
  </si>
  <si>
    <t>Incremento neto de la reserva de riesgos en curso y de fianzas en vigor</t>
  </si>
  <si>
    <t>Costo neto de adquisición</t>
  </si>
  <si>
    <t>Costo neto de siniestralidad</t>
  </si>
  <si>
    <t>Gastos netos de operacion</t>
  </si>
  <si>
    <t>RIF</t>
  </si>
  <si>
    <t>Tasa de cambio de la prima emitida (%)</t>
  </si>
  <si>
    <t>Proporcion de la prima cedida con respecto a la emitida (%)</t>
  </si>
  <si>
    <t>Tasa de cambio del INRRCyFV (%)</t>
  </si>
  <si>
    <t>Proporcion del C.N. de adq. con respecto a la prima cedida (%)</t>
  </si>
  <si>
    <t>Proporcion del C.N. de op. con respecto a la prima cedida (%)</t>
  </si>
  <si>
    <t>Inversiones</t>
  </si>
  <si>
    <t>Prima emitida</t>
  </si>
  <si>
    <t>Promedio interanual</t>
  </si>
  <si>
    <t>CAGR 2021-2025</t>
  </si>
  <si>
    <t>Promedio ultimos dos años</t>
  </si>
  <si>
    <t>Promedio</t>
  </si>
  <si>
    <t>Proporcion ponderada del periodo completo</t>
  </si>
  <si>
    <t>Comentarios</t>
  </si>
  <si>
    <t>Es importante escoger un criterio adecuado para realizar la proyeccion. La variacion entre los tres estadisticos calculados es amplia. Por un lado, utilizando el promedio interanual obtenemos un escenario optimista de crecimiento del 9.69%, mientras que el promedio de los ultimos dos anos es menor en casi 3 puntos porcentuales.</t>
  </si>
  <si>
    <t>Debe tomarse en cuenta que los anos 2022 y 2023 fueron outliers, pues se vivio un crecimiento anormal en el sector de vida a nivel mundial. Para ver mas info al respecto pueden checar el siguiente link https://www.cnsf.gob.mx/cnsf/revista/SitePages/An%C3%A1lisis-Estad%C3%ADsticos.aspx?web=1.</t>
  </si>
  <si>
    <t>En base a esto, considero que la mejor idea es plantear los siguientes escenarios: promedio ultimos dos anos, promedio interanual</t>
  </si>
  <si>
    <t>Proporcion del incremento de la reserva de riesgos en curso con respecto a la prima retenida</t>
  </si>
  <si>
    <t>Prima retenida</t>
  </si>
  <si>
    <t>Promedio ponderado del periodo</t>
  </si>
  <si>
    <t>Promedio ultimos dos anos</t>
  </si>
  <si>
    <t>Prima retenida devengada</t>
  </si>
  <si>
    <t>Proporcion pima retenida devengada</t>
  </si>
  <si>
    <t>Proporcion de la prima retenda devengada con respecto a la prima retenida</t>
  </si>
  <si>
    <t>% de costo de adq.</t>
  </si>
  <si>
    <t>Proporcion del C.N.S. con respecto a las primas retenidas devengadas</t>
  </si>
  <si>
    <t>Costo neto de adquisicion</t>
  </si>
  <si>
    <t>Proporcion siniestros/primas retenidas devengadas</t>
  </si>
  <si>
    <t>Costo neto de operacion</t>
  </si>
  <si>
    <t>% de costo de op.</t>
  </si>
  <si>
    <t>Promedio anual</t>
  </si>
  <si>
    <t>Promedio anual ultimos dos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</si>
</sst>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00;[Red]&quot;$&quot;#,##0.00"/>
  </numFmts>
  <fonts count="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theme="5"/>
        <bgColor theme="5"/>
      </patternFill>
    </fill>
  </fills>
  <borders count="4">
    <border>
      <left/>
      <right/>
      <top/>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164" fontId="0" fillId="0" borderId="0" xfId="0" applyNumberFormat="1"/>
    <xf numFmtId="10" fontId="0" fillId="0" borderId="0" xfId="0" applyNumberFormat="1"/>
    <xf numFmtId="44" fontId="0" fillId="0" borderId="0" xfId="1" applyFont="1"/>
    <xf numFmtId="0" fontId="2" fillId="2" borderId="1" xfId="0" applyFont="1" applyFill="1" applyBorder="1"/>
    <xf numFmtId="0" fontId="2" fillId="2" borderId="2" xfId="0" applyFont="1" applyFill="1" applyBorder="1"/>
    <xf numFmtId="0" fontId="2" fillId="2" borderId="3" xfId="0" applyFont="1" applyFill="1" applyBorder="1"/>
    <xf numFmtId="165" fontId="0" fillId="0" borderId="0" xfId="0" applyNumberFormat="1"/>
    <xf numFmtId="0" fontId="2" fillId="2" borderId="0" xfId="0" applyFont="1" applyFill="1"/>
    <xf numFmtId="0" fontId="0" fillId="0" borderId="0" xfId="0" applyAlignment="1">
      <alignment horizontal="center"/>
    </xf>
    <xf numFmtId="0" fontId="3" fillId="0" borderId="0" xfId="0" applyFont="1" applyAlignment="1">
      <alignment horizontal="center"/>
    </xf>
    <xf numFmtId="0" fontId="0" fillId="0" borderId="0" xfId="0" applyAlignment="1">
      <alignment wrapText="1"/>
    </xf>
    <xf numFmtId="10" fontId="0" fillId="0" borderId="0" xfId="2" applyNumberFormat="1" applyFont="1"/>
  </cellXfs>
  <cellStyles count="3">
    <cellStyle name="Currency" xfId="1" builtinId="4"/>
    <cellStyle name="Normal" xfId="0" builtinId="0"/>
    <cellStyle name="Percent" xfId="2" builtinId="5"/>
  </cellStyles>
  <dxfs count="4">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B61AF5-303D-43D7-86AC-3CCC2F6DCAF2}" name="Table1" displayName="Table1" ref="A1:F27" totalsRowShown="0">
  <autoFilter ref="A1:F27" xr:uid="{65B61AF5-303D-43D7-86AC-3CCC2F6DCAF2}"/>
  <tableColumns count="6">
    <tableColumn id="1" xr3:uid="{41C1D2DD-479E-40B2-9C22-93C4F65A62E6}" name="DATOS"/>
    <tableColumn id="2" xr3:uid="{2ACA097C-B40D-47DD-BBCC-95F9198841BA}" name="2021"/>
    <tableColumn id="3" xr3:uid="{92DCD4C4-E450-4102-888C-2A4425582979}" name="2022" dataDxfId="3"/>
    <tableColumn id="4" xr3:uid="{B979FABE-3DBE-4806-B536-A75F6B3A5D2F}" name="2023" dataDxfId="2"/>
    <tableColumn id="5" xr3:uid="{4D0B2E2B-23F7-418F-926F-0B6B8D2CAFC0}" name="2024" dataDxfId="1"/>
    <tableColumn id="6" xr3:uid="{0751066E-0774-4D8B-A9A9-92C918694793}" name="2025"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2"/>
  <sheetViews>
    <sheetView tabSelected="1" workbookViewId="0">
      <selection activeCell="L21" sqref="L21"/>
    </sheetView>
  </sheetViews>
  <sheetFormatPr defaultRowHeight="15" x14ac:dyDescent="0.25"/>
  <cols>
    <col min="1" max="1" width="34.85546875" bestFit="1" customWidth="1"/>
    <col min="2" max="2" width="18.5703125" bestFit="1" customWidth="1"/>
    <col min="3" max="6" width="19" bestFit="1" customWidth="1"/>
    <col min="9" max="9" width="27.42578125" customWidth="1"/>
    <col min="10" max="10" width="17.5703125" bestFit="1" customWidth="1"/>
    <col min="12" max="12" width="17.5703125" bestFit="1" customWidth="1"/>
  </cols>
  <sheetData>
    <row r="1" spans="1:17" x14ac:dyDescent="0.25">
      <c r="A1" t="s">
        <v>0</v>
      </c>
      <c r="B1" t="s">
        <v>1</v>
      </c>
      <c r="C1" t="s">
        <v>2</v>
      </c>
      <c r="D1" t="s">
        <v>3</v>
      </c>
      <c r="E1" t="s">
        <v>4</v>
      </c>
      <c r="F1" t="s">
        <v>5</v>
      </c>
    </row>
    <row r="2" spans="1:17" x14ac:dyDescent="0.25">
      <c r="A2" t="s">
        <v>6</v>
      </c>
      <c r="B2" s="7">
        <v>62441218098.580002</v>
      </c>
      <c r="C2" s="7">
        <v>69680096878.970001</v>
      </c>
      <c r="D2" s="7">
        <v>79147328157.25</v>
      </c>
      <c r="E2" s="7">
        <v>84281015919.929993</v>
      </c>
      <c r="F2" s="7">
        <v>90255206894.380005</v>
      </c>
      <c r="I2" s="9" t="s">
        <v>30</v>
      </c>
      <c r="J2" s="9"/>
      <c r="L2" s="10" t="s">
        <v>36</v>
      </c>
      <c r="M2" s="10"/>
      <c r="N2" s="10"/>
      <c r="O2" s="10"/>
      <c r="P2" s="10"/>
      <c r="Q2" s="10"/>
    </row>
    <row r="3" spans="1:17" x14ac:dyDescent="0.25">
      <c r="A3" t="s">
        <v>18</v>
      </c>
      <c r="B3" s="7">
        <v>1772933239</v>
      </c>
      <c r="C3" s="7">
        <v>2901424727</v>
      </c>
      <c r="D3" s="7">
        <v>2753688259.2199998</v>
      </c>
      <c r="E3" s="7">
        <v>3312807412.3600001</v>
      </c>
      <c r="F3" s="7">
        <v>3589429833.0700002</v>
      </c>
      <c r="I3" t="s">
        <v>31</v>
      </c>
      <c r="J3" s="2">
        <f>G30</f>
        <v>9.6886196108379785E-2</v>
      </c>
      <c r="L3" s="11" t="s">
        <v>37</v>
      </c>
      <c r="M3" s="11"/>
      <c r="N3" s="11"/>
      <c r="O3" s="11"/>
      <c r="P3" s="11"/>
      <c r="Q3" s="11"/>
    </row>
    <row r="4" spans="1:17" x14ac:dyDescent="0.25">
      <c r="A4" t="s">
        <v>41</v>
      </c>
      <c r="B4" s="7">
        <f>B2-B3</f>
        <v>60668284859.580002</v>
      </c>
      <c r="C4" s="7">
        <f t="shared" ref="C4:F4" si="0">C2-C3</f>
        <v>66778672151.970001</v>
      </c>
      <c r="D4" s="7">
        <f t="shared" si="0"/>
        <v>76393639898.029999</v>
      </c>
      <c r="E4" s="7">
        <f t="shared" si="0"/>
        <v>80968208507.569992</v>
      </c>
      <c r="F4" s="7">
        <f t="shared" si="0"/>
        <v>86665777061.309998</v>
      </c>
      <c r="I4" t="s">
        <v>32</v>
      </c>
      <c r="J4" s="2">
        <f>(F2/B2)^(1/5)-1</f>
        <v>7.6465659507858774E-2</v>
      </c>
      <c r="L4" s="11"/>
      <c r="M4" s="11"/>
      <c r="N4" s="11"/>
      <c r="O4" s="11"/>
      <c r="P4" s="11"/>
      <c r="Q4" s="11"/>
    </row>
    <row r="5" spans="1:17" x14ac:dyDescent="0.25">
      <c r="A5" t="s">
        <v>19</v>
      </c>
      <c r="B5" s="7">
        <v>2750352362</v>
      </c>
      <c r="C5" s="7">
        <v>4924593131</v>
      </c>
      <c r="D5" s="7">
        <v>6277634206.5900002</v>
      </c>
      <c r="E5" s="7">
        <v>4190547455.6100001</v>
      </c>
      <c r="F5" s="7">
        <v>1617640857.6400001</v>
      </c>
      <c r="I5" t="s">
        <v>33</v>
      </c>
      <c r="J5" s="2">
        <f>AVERAGE(E30:F30)</f>
        <v>6.787330490688781E-2</v>
      </c>
      <c r="L5" s="11"/>
      <c r="M5" s="11"/>
      <c r="N5" s="11"/>
      <c r="O5" s="11"/>
      <c r="P5" s="11"/>
      <c r="Q5" s="11"/>
    </row>
    <row r="6" spans="1:17" x14ac:dyDescent="0.25">
      <c r="A6" t="s">
        <v>44</v>
      </c>
      <c r="B6" s="7">
        <v>57917932498</v>
      </c>
      <c r="C6" s="7">
        <v>61854079021</v>
      </c>
      <c r="D6" s="7">
        <v>70116005691.440002</v>
      </c>
      <c r="E6" s="7">
        <v>76777547455.610001</v>
      </c>
      <c r="F6" s="7">
        <v>85048136203.669998</v>
      </c>
      <c r="L6" s="11"/>
      <c r="M6" s="11"/>
      <c r="N6" s="11"/>
      <c r="O6" s="11"/>
      <c r="P6" s="11"/>
      <c r="Q6" s="11"/>
    </row>
    <row r="7" spans="1:17" x14ac:dyDescent="0.25">
      <c r="A7" t="s">
        <v>20</v>
      </c>
      <c r="B7" s="7">
        <v>8723391842.2399998</v>
      </c>
      <c r="C7" s="7">
        <v>9781560771.6399994</v>
      </c>
      <c r="D7" s="7">
        <v>13643040949.950001</v>
      </c>
      <c r="E7" s="7">
        <v>12754954584.5</v>
      </c>
      <c r="F7" s="7">
        <v>13517235117.35</v>
      </c>
      <c r="I7" s="9" t="s">
        <v>18</v>
      </c>
      <c r="J7" s="9"/>
      <c r="L7" s="11"/>
      <c r="M7" s="11"/>
      <c r="N7" s="11"/>
      <c r="O7" s="11"/>
      <c r="P7" s="11"/>
      <c r="Q7" s="11"/>
    </row>
    <row r="8" spans="1:17" x14ac:dyDescent="0.25">
      <c r="A8" t="s">
        <v>21</v>
      </c>
      <c r="B8" s="7">
        <v>49202382646.720001</v>
      </c>
      <c r="C8" s="7">
        <v>45669918416.410004</v>
      </c>
      <c r="D8" s="7">
        <v>50692296162.019997</v>
      </c>
      <c r="E8" s="7">
        <v>58294248763.230003</v>
      </c>
      <c r="F8" s="7">
        <v>65734909059.07</v>
      </c>
      <c r="I8" t="s">
        <v>31</v>
      </c>
      <c r="J8" s="2">
        <f>G31</f>
        <v>3.6780250119857631E-2</v>
      </c>
    </row>
    <row r="9" spans="1:17" x14ac:dyDescent="0.25">
      <c r="A9" t="s">
        <v>22</v>
      </c>
      <c r="B9" s="7">
        <v>4302525869.3500004</v>
      </c>
      <c r="C9" s="7">
        <v>4452289443.4799995</v>
      </c>
      <c r="D9" s="7">
        <v>4938683866.21</v>
      </c>
      <c r="E9" s="7">
        <v>5294249066.1899996</v>
      </c>
      <c r="F9" s="7">
        <v>5254060908.04</v>
      </c>
      <c r="I9" t="s">
        <v>35</v>
      </c>
      <c r="J9" s="2">
        <f>SUM(B3:F3)/SUM(B2:F2)</f>
        <v>3.7143863998180496E-2</v>
      </c>
      <c r="L9" s="11" t="s">
        <v>38</v>
      </c>
      <c r="M9" s="11"/>
      <c r="N9" s="11"/>
      <c r="O9" s="11"/>
      <c r="P9" s="11"/>
      <c r="Q9" s="11"/>
    </row>
    <row r="10" spans="1:17" x14ac:dyDescent="0.25">
      <c r="A10" t="s">
        <v>23</v>
      </c>
      <c r="B10" s="7">
        <v>8496951934</v>
      </c>
      <c r="C10" s="7">
        <v>10957656219</v>
      </c>
      <c r="D10" s="7">
        <v>11517904312.09</v>
      </c>
      <c r="E10" s="7">
        <v>12889708722.120001</v>
      </c>
      <c r="F10" s="7">
        <v>12583277072.24</v>
      </c>
      <c r="L10" s="11"/>
      <c r="M10" s="11"/>
      <c r="N10" s="11"/>
      <c r="O10" s="11"/>
      <c r="P10" s="11"/>
      <c r="Q10" s="11"/>
    </row>
    <row r="11" spans="1:17" x14ac:dyDescent="0.25">
      <c r="A11" t="s">
        <v>29</v>
      </c>
      <c r="B11" s="7">
        <v>116510156035</v>
      </c>
      <c r="C11" s="7">
        <v>122100173840</v>
      </c>
      <c r="D11" s="7">
        <v>125801465707.71001</v>
      </c>
      <c r="E11" s="7">
        <v>139718968348.84</v>
      </c>
      <c r="F11" s="7">
        <v>129993857280.42999</v>
      </c>
      <c r="I11" s="9" t="s">
        <v>45</v>
      </c>
      <c r="J11" s="9"/>
      <c r="L11" s="11"/>
      <c r="M11" s="11"/>
      <c r="N11" s="11"/>
      <c r="O11" s="11"/>
      <c r="P11" s="11"/>
      <c r="Q11" s="11"/>
    </row>
    <row r="12" spans="1:17" x14ac:dyDescent="0.25">
      <c r="B12" s="7"/>
      <c r="C12" s="7"/>
      <c r="D12" s="7"/>
      <c r="E12" s="7"/>
      <c r="F12" s="7"/>
      <c r="I12" t="s">
        <v>53</v>
      </c>
      <c r="J12" s="2">
        <f>G33</f>
        <v>0.94566475101261138</v>
      </c>
      <c r="L12" s="11"/>
      <c r="M12" s="11"/>
      <c r="N12" s="11"/>
      <c r="O12" s="11"/>
      <c r="P12" s="11"/>
      <c r="Q12" s="11"/>
    </row>
    <row r="13" spans="1:17" x14ac:dyDescent="0.25">
      <c r="B13" s="7"/>
      <c r="C13" s="7"/>
      <c r="D13" s="7"/>
      <c r="E13" s="7"/>
      <c r="F13" s="7"/>
      <c r="I13" t="s">
        <v>42</v>
      </c>
      <c r="J13" s="2">
        <f>SUM(B6:F6)/SUM(B4:F4)</f>
        <v>0.94680421611380128</v>
      </c>
      <c r="L13" s="11"/>
      <c r="M13" s="11"/>
      <c r="N13" s="11"/>
      <c r="O13" s="11"/>
      <c r="P13" s="11"/>
      <c r="Q13" s="11"/>
    </row>
    <row r="14" spans="1:17" x14ac:dyDescent="0.25">
      <c r="B14" s="7"/>
      <c r="C14" s="7"/>
      <c r="D14" s="7"/>
      <c r="E14" s="7"/>
      <c r="F14" s="7"/>
      <c r="I14" t="s">
        <v>43</v>
      </c>
      <c r="J14" s="2">
        <f>AVERAGE(E33:F33)</f>
        <v>0.96478892573163466</v>
      </c>
    </row>
    <row r="15" spans="1:17" x14ac:dyDescent="0.25">
      <c r="B15" s="7"/>
      <c r="C15" s="7"/>
      <c r="D15" s="7"/>
      <c r="E15" s="7"/>
      <c r="F15" s="7"/>
      <c r="L15" t="s">
        <v>39</v>
      </c>
    </row>
    <row r="16" spans="1:17" x14ac:dyDescent="0.25">
      <c r="C16" s="2"/>
      <c r="D16" s="2"/>
      <c r="E16" s="2"/>
      <c r="F16" s="2"/>
      <c r="I16" s="9" t="s">
        <v>49</v>
      </c>
      <c r="J16" s="9"/>
    </row>
    <row r="17" spans="1:11" x14ac:dyDescent="0.25">
      <c r="A17" t="s">
        <v>9</v>
      </c>
      <c r="B17" s="1">
        <v>8723391842.2399998</v>
      </c>
      <c r="C17" s="1">
        <v>9781560771.6399994</v>
      </c>
      <c r="D17" s="1">
        <v>13643040949.950001</v>
      </c>
      <c r="E17" s="1">
        <v>12754954584.5</v>
      </c>
      <c r="F17" s="1">
        <v>13517235117.35</v>
      </c>
      <c r="I17" t="s">
        <v>53</v>
      </c>
      <c r="J17" s="2">
        <f>G34</f>
        <v>0.15071285204567914</v>
      </c>
    </row>
    <row r="18" spans="1:11" x14ac:dyDescent="0.25">
      <c r="A18" t="s">
        <v>10</v>
      </c>
      <c r="B18" s="2">
        <f>B17/B2</f>
        <v>0.13970566410904758</v>
      </c>
      <c r="C18" s="2">
        <f>C17/C2</f>
        <v>0.14037811670425721</v>
      </c>
      <c r="D18" s="2">
        <f>D17/D2</f>
        <v>0.17237525596371353</v>
      </c>
      <c r="E18" s="2">
        <f>E17/E2</f>
        <v>0.15133840575222382</v>
      </c>
      <c r="F18" s="2">
        <f>F17/F2</f>
        <v>0.14976681769915359</v>
      </c>
      <c r="I18" t="s">
        <v>42</v>
      </c>
      <c r="J18" s="12">
        <f>SUM(B7:F7)/SUM(B2:F2)</f>
        <v>0.1514241742958887</v>
      </c>
    </row>
    <row r="19" spans="1:11" x14ac:dyDescent="0.25">
      <c r="A19" t="s">
        <v>11</v>
      </c>
      <c r="B19" s="1">
        <v>49202382646.720001</v>
      </c>
      <c r="C19" s="1">
        <v>45669918416.410004</v>
      </c>
      <c r="D19" s="1">
        <v>50692296162.019997</v>
      </c>
      <c r="E19" s="1">
        <v>58294248763.230003</v>
      </c>
      <c r="F19" s="1">
        <v>65734909059.07</v>
      </c>
    </row>
    <row r="20" spans="1:11" x14ac:dyDescent="0.25">
      <c r="A20" t="s">
        <v>7</v>
      </c>
      <c r="B20" t="s">
        <v>8</v>
      </c>
      <c r="C20" s="2">
        <f>(C19/B19)-1</f>
        <v>-7.1794576609705785E-2</v>
      </c>
      <c r="D20" s="2">
        <f t="shared" ref="D20:F20" si="1">(D19/C19)-1</f>
        <v>0.10997124408712233</v>
      </c>
      <c r="E20" s="2">
        <f t="shared" si="1"/>
        <v>0.14996268026433546</v>
      </c>
      <c r="F20" s="2">
        <f t="shared" si="1"/>
        <v>0.12763969780383055</v>
      </c>
      <c r="I20" s="9" t="s">
        <v>50</v>
      </c>
      <c r="J20" s="9"/>
    </row>
    <row r="21" spans="1:11" x14ac:dyDescent="0.25">
      <c r="A21" t="s">
        <v>12</v>
      </c>
      <c r="B21" s="1">
        <v>4302525869.3500004</v>
      </c>
      <c r="C21" s="1">
        <v>4452289443.4799995</v>
      </c>
      <c r="D21" s="1">
        <v>4938683866.21</v>
      </c>
      <c r="E21" s="1">
        <v>5294249066.1899996</v>
      </c>
      <c r="F21" s="1">
        <v>5254060908.04</v>
      </c>
      <c r="I21" t="s">
        <v>53</v>
      </c>
      <c r="J21" s="2">
        <f>G40</f>
        <v>0.70077399924517203</v>
      </c>
    </row>
    <row r="22" spans="1:11" x14ac:dyDescent="0.25">
      <c r="A22" t="s">
        <v>13</v>
      </c>
      <c r="B22" s="2">
        <f>B21/B2</f>
        <v>6.890521998717776E-2</v>
      </c>
      <c r="C22" s="2">
        <f>C21/C2</f>
        <v>6.3896143129843083E-2</v>
      </c>
      <c r="D22" s="2">
        <f>D21/D2</f>
        <v>6.2398617631132379E-2</v>
      </c>
      <c r="E22" s="2">
        <f>E21/E2</f>
        <v>6.2816626121589794E-2</v>
      </c>
      <c r="F22" s="2">
        <f>F21/F2</f>
        <v>5.8213382793399354E-2</v>
      </c>
      <c r="I22" t="s">
        <v>54</v>
      </c>
      <c r="J22" s="12">
        <f>AVERAGE(E40:F40)</f>
        <v>0.70999392967041675</v>
      </c>
    </row>
    <row r="23" spans="1:11" x14ac:dyDescent="0.25">
      <c r="A23" t="s">
        <v>14</v>
      </c>
      <c r="B23" s="1">
        <v>3078499571</v>
      </c>
      <c r="C23" s="1">
        <v>9786050231</v>
      </c>
      <c r="D23" s="1">
        <v>8178417872.4499998</v>
      </c>
      <c r="E23" s="1">
        <v>9829856448.6299992</v>
      </c>
      <c r="F23" s="1">
        <v>9978871921.6599998</v>
      </c>
      <c r="I23" t="s">
        <v>42</v>
      </c>
      <c r="J23" s="2">
        <f>SUM(B8:F8)/SUM(B6:F6)</f>
        <v>0.76651479422267821</v>
      </c>
    </row>
    <row r="24" spans="1:11" x14ac:dyDescent="0.25">
      <c r="A24" t="s">
        <v>15</v>
      </c>
      <c r="B24" s="2">
        <f>B23/B2</f>
        <v>4.9302362521816488E-2</v>
      </c>
      <c r="C24" s="2">
        <f>C23/C2</f>
        <v>0.14044254628402369</v>
      </c>
      <c r="D24" s="2">
        <f>D23/D2</f>
        <v>0.10333157243414598</v>
      </c>
      <c r="E24" s="2">
        <f>E23/E2</f>
        <v>0.11663191694282278</v>
      </c>
      <c r="F24" s="2">
        <f>F23/F2</f>
        <v>0.11056283914276155</v>
      </c>
    </row>
    <row r="25" spans="1:11" x14ac:dyDescent="0.25">
      <c r="A25" t="s">
        <v>16</v>
      </c>
      <c r="B25" s="3">
        <v>8496951934</v>
      </c>
      <c r="C25" s="3">
        <v>10957656219</v>
      </c>
      <c r="D25" s="3">
        <v>11517904312.09</v>
      </c>
      <c r="E25" s="3">
        <v>12889708722.120001</v>
      </c>
      <c r="F25" s="3">
        <v>12583277072.24</v>
      </c>
      <c r="I25" s="9" t="s">
        <v>51</v>
      </c>
      <c r="J25" s="9"/>
    </row>
    <row r="26" spans="1:11" x14ac:dyDescent="0.25">
      <c r="A26" t="s">
        <v>7</v>
      </c>
      <c r="B26" t="s">
        <v>8</v>
      </c>
      <c r="C26" s="2">
        <f>(C25/B25)-1</f>
        <v>0.28959847061787558</v>
      </c>
      <c r="D26" s="2">
        <f>(D25/C25)-1</f>
        <v>5.1128460493089722E-2</v>
      </c>
      <c r="E26" s="2">
        <f t="shared" ref="E26:F26" si="2">(E25/D25)-1</f>
        <v>0.11910191063056996</v>
      </c>
      <c r="F26" s="2">
        <f t="shared" si="2"/>
        <v>-2.3773357217462543E-2</v>
      </c>
      <c r="I26" t="s">
        <v>53</v>
      </c>
      <c r="J26" s="2">
        <f>G35</f>
        <v>6.3245997932628487E-2</v>
      </c>
    </row>
    <row r="27" spans="1:11" x14ac:dyDescent="0.25">
      <c r="A27" t="s">
        <v>17</v>
      </c>
      <c r="C27" s="2"/>
      <c r="D27" s="2"/>
      <c r="E27" s="2"/>
      <c r="F27" s="1">
        <v>35890000</v>
      </c>
      <c r="I27" t="s">
        <v>42</v>
      </c>
      <c r="J27" s="2">
        <f>SUM(B9:F9)/SUM(B2:F2)</f>
        <v>6.2834378964177304E-2</v>
      </c>
    </row>
    <row r="29" spans="1:11" x14ac:dyDescent="0.25">
      <c r="A29" s="4" t="s">
        <v>0</v>
      </c>
      <c r="B29" s="5" t="s">
        <v>1</v>
      </c>
      <c r="C29" s="5" t="s">
        <v>2</v>
      </c>
      <c r="D29" s="5" t="s">
        <v>3</v>
      </c>
      <c r="E29" s="5" t="s">
        <v>4</v>
      </c>
      <c r="F29" s="6" t="s">
        <v>5</v>
      </c>
      <c r="G29" s="8" t="s">
        <v>34</v>
      </c>
    </row>
    <row r="30" spans="1:11" x14ac:dyDescent="0.25">
      <c r="A30" t="s">
        <v>24</v>
      </c>
      <c r="B30" t="s">
        <v>8</v>
      </c>
      <c r="C30" s="2">
        <f>C2/B2-1</f>
        <v>0.11593109488930065</v>
      </c>
      <c r="D30" s="2">
        <f t="shared" ref="D30:F30" si="3">D2/C2-1</f>
        <v>0.13586707973044287</v>
      </c>
      <c r="E30" s="2">
        <f t="shared" si="3"/>
        <v>6.4862426593609968E-2</v>
      </c>
      <c r="F30" s="2">
        <f t="shared" si="3"/>
        <v>7.0884183220165653E-2</v>
      </c>
      <c r="G30" s="2">
        <f>AVERAGE(C30:F30)</f>
        <v>9.6886196108379785E-2</v>
      </c>
    </row>
    <row r="31" spans="1:11" x14ac:dyDescent="0.25">
      <c r="A31" t="s">
        <v>25</v>
      </c>
      <c r="B31" s="2">
        <f>B3/B2</f>
        <v>2.8393636334911904E-2</v>
      </c>
      <c r="C31" s="2">
        <f t="shared" ref="C31:F31" si="4">C3/C2</f>
        <v>4.1639217753092317E-2</v>
      </c>
      <c r="D31" s="2">
        <f t="shared" si="4"/>
        <v>3.4791929472956673E-2</v>
      </c>
      <c r="E31" s="2">
        <f t="shared" si="4"/>
        <v>3.9306685808192993E-2</v>
      </c>
      <c r="F31" s="2">
        <f t="shared" si="4"/>
        <v>3.9769781230134284E-2</v>
      </c>
      <c r="G31" s="2">
        <f>AVERAGE(B31:F31)</f>
        <v>3.6780250119857631E-2</v>
      </c>
      <c r="J31" t="s">
        <v>1</v>
      </c>
      <c r="K31">
        <v>0.13970566410904758</v>
      </c>
    </row>
    <row r="32" spans="1:11" x14ac:dyDescent="0.25">
      <c r="A32" t="s">
        <v>40</v>
      </c>
      <c r="B32" s="2">
        <f>B5/B4</f>
        <v>4.5334269270440694E-2</v>
      </c>
      <c r="C32" s="2">
        <f t="shared" ref="C32:F32" si="5">C5/C4</f>
        <v>7.374499929847321E-2</v>
      </c>
      <c r="D32" s="2">
        <f t="shared" si="5"/>
        <v>8.2174827838670431E-2</v>
      </c>
      <c r="E32" s="2">
        <f t="shared" si="5"/>
        <v>5.1755467150026067E-2</v>
      </c>
      <c r="F32" s="2">
        <f t="shared" si="5"/>
        <v>1.8665278411980683E-2</v>
      </c>
      <c r="G32" s="2">
        <f>AVERAGE(B32:F32)</f>
        <v>5.4334968393918215E-2</v>
      </c>
      <c r="J32" t="s">
        <v>2</v>
      </c>
      <c r="K32">
        <v>0.14037811670425721</v>
      </c>
    </row>
    <row r="33" spans="1:11" x14ac:dyDescent="0.25">
      <c r="A33" t="s">
        <v>46</v>
      </c>
      <c r="B33" s="2">
        <f>B6/B4</f>
        <v>0.9546657307364822</v>
      </c>
      <c r="C33" s="2">
        <f t="shared" ref="C33:F33" si="6">C6/C4</f>
        <v>0.92625500070197597</v>
      </c>
      <c r="D33" s="2">
        <f t="shared" si="6"/>
        <v>0.91782517216132964</v>
      </c>
      <c r="E33" s="2">
        <f t="shared" si="6"/>
        <v>0.94824312987524983</v>
      </c>
      <c r="F33" s="2">
        <f t="shared" si="6"/>
        <v>0.98133472158801938</v>
      </c>
      <c r="G33" s="2">
        <f>AVERAGE(B33:F33)</f>
        <v>0.94566475101261138</v>
      </c>
      <c r="J33" t="s">
        <v>3</v>
      </c>
      <c r="K33">
        <v>0.17237525596371353</v>
      </c>
    </row>
    <row r="34" spans="1:11" x14ac:dyDescent="0.25">
      <c r="A34" t="s">
        <v>47</v>
      </c>
      <c r="B34" s="12">
        <f>B17/B2</f>
        <v>0.13970566410904758</v>
      </c>
      <c r="C34" s="12">
        <f t="shared" ref="C34:F34" si="7">C17/C2</f>
        <v>0.14037811670425721</v>
      </c>
      <c r="D34" s="12">
        <f t="shared" si="7"/>
        <v>0.17237525596371353</v>
      </c>
      <c r="E34" s="12">
        <f t="shared" si="7"/>
        <v>0.15133840575222382</v>
      </c>
      <c r="F34" s="12">
        <f t="shared" si="7"/>
        <v>0.14976681769915359</v>
      </c>
      <c r="G34" s="2">
        <f>AVERAGE(B34:F34)</f>
        <v>0.15071285204567914</v>
      </c>
      <c r="J34" t="s">
        <v>4</v>
      </c>
      <c r="K34">
        <v>0.15133840575222382</v>
      </c>
    </row>
    <row r="35" spans="1:11" x14ac:dyDescent="0.25">
      <c r="A35" t="s">
        <v>52</v>
      </c>
      <c r="B35" s="2">
        <f>B21/B2</f>
        <v>6.890521998717776E-2</v>
      </c>
      <c r="C35" s="2">
        <f t="shared" ref="C35:F35" si="8">C21/C2</f>
        <v>6.3896143129843083E-2</v>
      </c>
      <c r="D35" s="2">
        <f t="shared" si="8"/>
        <v>6.2398617631132379E-2</v>
      </c>
      <c r="E35" s="2">
        <f t="shared" si="8"/>
        <v>6.2816626121589794E-2</v>
      </c>
      <c r="F35" s="2">
        <f t="shared" si="8"/>
        <v>5.8213382793399354E-2</v>
      </c>
      <c r="G35" s="2">
        <f>AVERAGE(B35:F35)</f>
        <v>6.3245997932628487E-2</v>
      </c>
      <c r="J35" t="s">
        <v>5</v>
      </c>
      <c r="K35">
        <v>0.14976681769915359</v>
      </c>
    </row>
    <row r="37" spans="1:11" x14ac:dyDescent="0.25">
      <c r="A37" t="s">
        <v>26</v>
      </c>
    </row>
    <row r="38" spans="1:11" x14ac:dyDescent="0.25">
      <c r="A38" t="s">
        <v>27</v>
      </c>
    </row>
    <row r="39" spans="1:11" x14ac:dyDescent="0.25">
      <c r="C39" s="2"/>
      <c r="D39" s="2"/>
      <c r="E39" s="2"/>
      <c r="F39" s="2"/>
      <c r="G39" s="2"/>
    </row>
    <row r="40" spans="1:11" x14ac:dyDescent="0.25">
      <c r="A40" t="s">
        <v>48</v>
      </c>
      <c r="B40" s="2">
        <f>B8/B2</f>
        <v>0.78797922502153961</v>
      </c>
      <c r="C40" s="2">
        <f t="shared" ref="C40:F40" si="9">C8/C2</f>
        <v>0.65542271698812093</v>
      </c>
      <c r="D40" s="2">
        <f t="shared" si="9"/>
        <v>0.64048019487536567</v>
      </c>
      <c r="E40" s="2">
        <f t="shared" si="9"/>
        <v>0.69166523596027418</v>
      </c>
      <c r="F40" s="2">
        <f t="shared" si="9"/>
        <v>0.72832262338055942</v>
      </c>
      <c r="G40" s="2">
        <f>AVERAGE(B40:F40)</f>
        <v>0.70077399924517203</v>
      </c>
    </row>
    <row r="42" spans="1:11" x14ac:dyDescent="0.25">
      <c r="A42" t="s">
        <v>28</v>
      </c>
    </row>
  </sheetData>
  <mergeCells count="9">
    <mergeCell ref="I20:J20"/>
    <mergeCell ref="I16:J16"/>
    <mergeCell ref="I25:J25"/>
    <mergeCell ref="I2:J2"/>
    <mergeCell ref="I7:J7"/>
    <mergeCell ref="L2:Q2"/>
    <mergeCell ref="L3:Q7"/>
    <mergeCell ref="L9:Q13"/>
    <mergeCell ref="I11:J11"/>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Ossian Ramirez</dc:creator>
  <cp:lastModifiedBy>Ossian Ramirez</cp:lastModifiedBy>
  <dcterms:created xsi:type="dcterms:W3CDTF">2015-06-05T18:17:20Z</dcterms:created>
  <dcterms:modified xsi:type="dcterms:W3CDTF">2026-05-27T13:59:19Z</dcterms:modified>
</cp:coreProperties>
</file>