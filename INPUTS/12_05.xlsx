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ssia\Documents\SEMESTRES_FACULTAD\New_5th_semester\Contabilidad_de_seguros\PROYECTO\INPUTS\"/>
    </mc:Choice>
  </mc:AlternateContent>
  <xr:revisionPtr revIDLastSave="0" documentId="13_ncr:1_{1B1C7538-8068-4938-A336-0C3D0F6B62C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L7" i="1"/>
  <c r="K7" i="1"/>
  <c r="L11" i="1"/>
  <c r="H4" i="1"/>
  <c r="C10" i="1"/>
  <c r="C6" i="1"/>
  <c r="D10" i="1" l="1"/>
  <c r="H10" i="1" s="1"/>
  <c r="E10" i="1"/>
  <c r="F10" i="1"/>
  <c r="G10" i="1"/>
  <c r="E8" i="1"/>
  <c r="F8" i="1"/>
  <c r="G8" i="1"/>
  <c r="D8" i="1"/>
  <c r="D6" i="1"/>
  <c r="H6" i="1" s="1"/>
  <c r="E6" i="1"/>
  <c r="F6" i="1"/>
  <c r="G6" i="1"/>
  <c r="F4" i="1"/>
  <c r="E4" i="1"/>
  <c r="G4" i="1"/>
  <c r="D4" i="1"/>
  <c r="H8" i="1" l="1"/>
  <c r="K9" i="1" s="1"/>
  <c r="W9" i="1" l="1"/>
  <c r="V9" i="1"/>
  <c r="U9" i="1"/>
  <c r="M9" i="1"/>
  <c r="L9" i="1"/>
  <c r="T9" i="1"/>
  <c r="S9" i="1"/>
  <c r="R9" i="1"/>
  <c r="N9" i="1"/>
  <c r="Q9" i="1"/>
  <c r="P9" i="1"/>
  <c r="O9" i="1"/>
  <c r="H12" i="1"/>
  <c r="I4" i="1"/>
  <c r="S7" i="1" l="1"/>
  <c r="R7" i="1"/>
  <c r="Q7" i="1"/>
  <c r="P7" i="1"/>
  <c r="W7" i="1"/>
  <c r="O7" i="1"/>
  <c r="V7" i="1"/>
  <c r="N7" i="1"/>
  <c r="U7" i="1"/>
  <c r="T7" i="1"/>
</calcChain>
</file>

<file path=xl/sharedStrings.xml><?xml version="1.0" encoding="utf-8"?>
<sst xmlns="http://schemas.openxmlformats.org/spreadsheetml/2006/main" count="19" uniqueCount="16">
  <si>
    <t xml:space="preserve">Prima emitida </t>
  </si>
  <si>
    <t>Incremento/Decremento (%)</t>
  </si>
  <si>
    <t>Costo Neto de Adquisición</t>
  </si>
  <si>
    <t>% de costo de admin/prima</t>
  </si>
  <si>
    <t>Gastos de operación Netos</t>
  </si>
  <si>
    <t>% de costos de operación/prima</t>
  </si>
  <si>
    <t>Costo Neto de Siniestralidad</t>
  </si>
  <si>
    <t>N/A</t>
  </si>
  <si>
    <t>Categoria</t>
  </si>
  <si>
    <t xml:space="preserve">Liquidez </t>
  </si>
  <si>
    <t xml:space="preserve">liquidez </t>
  </si>
  <si>
    <t>Promedios</t>
  </si>
  <si>
    <t>Prima 2026</t>
  </si>
  <si>
    <t>Prima</t>
  </si>
  <si>
    <t>Siniestros</t>
  </si>
  <si>
    <t>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</si>
</sst>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4" fontId="0" fillId="0" borderId="0" xfId="0" applyNumberFormat="1"/>
    <xf numFmtId="9" fontId="0" fillId="0" borderId="0" xfId="1" applyFont="1"/>
    <xf numFmtId="164" fontId="0" fillId="0" borderId="0" xfId="0" applyNumberFormat="1"/>
    <xf numFmtId="17" fontId="0" fillId="0" borderId="0" xfId="0" applyNumberFormat="1"/>
    <xf numFmtId="165" fontId="0" fillId="0" borderId="0" xfId="1" applyNumberFormat="1" applyFont="1"/>
    <xf numFmtId="44" fontId="0" fillId="0" borderId="0" xfId="2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12"/>
  <sheetViews>
    <sheetView tabSelected="1" zoomScale="120" zoomScaleNormal="120" workbookViewId="0">
      <selection activeCell="H6" sqref="H6"/>
    </sheetView>
  </sheetViews>
  <sheetFormatPr defaultColWidth="11.42578125" defaultRowHeight="15" x14ac:dyDescent="0.25"/>
  <cols>
    <col min="2" max="2" width="30.140625" bestFit="1" customWidth="1"/>
    <col min="3" max="7" width="17.5703125" bestFit="1" customWidth="1"/>
    <col min="8" max="8" width="23.42578125" bestFit="1" customWidth="1"/>
    <col min="10" max="10" width="9.7109375" bestFit="1" customWidth="1"/>
    <col min="11" max="12" width="18.7109375" bestFit="1" customWidth="1"/>
    <col min="13" max="23" width="16.42578125" bestFit="1" customWidth="1"/>
  </cols>
  <sheetData>
    <row r="2" spans="2:23" x14ac:dyDescent="0.25">
      <c r="B2" t="s">
        <v>15</v>
      </c>
      <c r="C2">
        <v>2021</v>
      </c>
      <c r="D2">
        <v>2022</v>
      </c>
      <c r="E2">
        <v>2023</v>
      </c>
      <c r="F2">
        <v>2024</v>
      </c>
      <c r="G2">
        <v>2025</v>
      </c>
      <c r="H2" t="s">
        <v>11</v>
      </c>
      <c r="J2" t="s">
        <v>8</v>
      </c>
    </row>
    <row r="3" spans="2:23" x14ac:dyDescent="0.25">
      <c r="B3" t="s">
        <v>0</v>
      </c>
      <c r="C3" s="1">
        <v>62441218098.580002</v>
      </c>
      <c r="D3" s="1">
        <v>69680096878.970001</v>
      </c>
      <c r="E3" s="1">
        <v>79147328157.25</v>
      </c>
      <c r="F3" s="1">
        <v>84281015919.929993</v>
      </c>
      <c r="G3" s="1">
        <v>90255206894.380005</v>
      </c>
      <c r="J3" t="s">
        <v>9</v>
      </c>
    </row>
    <row r="4" spans="2:23" x14ac:dyDescent="0.25">
      <c r="B4" t="s">
        <v>1</v>
      </c>
      <c r="C4" t="s">
        <v>7</v>
      </c>
      <c r="D4" s="2">
        <f>(D3/C3)-1</f>
        <v>0.11593109488930065</v>
      </c>
      <c r="E4" s="2">
        <f t="shared" ref="E4:G4" si="0">(E3/D3)-1</f>
        <v>0.13586707973044287</v>
      </c>
      <c r="F4" s="2">
        <f>(F3/E3)-1</f>
        <v>6.4862426593609968E-2</v>
      </c>
      <c r="G4" s="2">
        <f t="shared" si="0"/>
        <v>7.0884183220165653E-2</v>
      </c>
      <c r="H4" s="2">
        <f>SUM(D4:G4)/4</f>
        <v>9.6886196108379785E-2</v>
      </c>
      <c r="I4" s="2">
        <f>H4/12</f>
        <v>8.073849675698316E-3</v>
      </c>
      <c r="J4" t="s">
        <v>10</v>
      </c>
    </row>
    <row r="5" spans="2:23" x14ac:dyDescent="0.25">
      <c r="B5" t="s">
        <v>2</v>
      </c>
      <c r="C5" s="1">
        <v>8723391842.2399998</v>
      </c>
      <c r="D5" s="1">
        <v>9781560771.6399994</v>
      </c>
      <c r="E5" s="1">
        <v>13643040949.950001</v>
      </c>
      <c r="F5" s="1">
        <v>12754954584.5</v>
      </c>
      <c r="G5" s="1">
        <v>13517235117.35</v>
      </c>
      <c r="J5" t="s">
        <v>9</v>
      </c>
    </row>
    <row r="6" spans="2:23" x14ac:dyDescent="0.25">
      <c r="B6" t="s">
        <v>3</v>
      </c>
      <c r="C6" s="2">
        <f>C5/C3</f>
        <v>0.13970566410904758</v>
      </c>
      <c r="D6" s="2">
        <f t="shared" ref="D6:G6" si="1">D5/D3</f>
        <v>0.14037811670425721</v>
      </c>
      <c r="E6" s="2">
        <f t="shared" si="1"/>
        <v>0.17237525596371353</v>
      </c>
      <c r="F6" s="2">
        <f t="shared" si="1"/>
        <v>0.15133840575222382</v>
      </c>
      <c r="G6" s="2">
        <f t="shared" si="1"/>
        <v>0.14976681769915359</v>
      </c>
      <c r="H6" s="5">
        <f>SUM(C6:G6)/5</f>
        <v>0.15071285204567914</v>
      </c>
      <c r="L6" s="4">
        <v>46023</v>
      </c>
      <c r="M6" s="4">
        <v>46054</v>
      </c>
      <c r="N6" s="4">
        <v>46082</v>
      </c>
      <c r="O6" s="4">
        <v>46113</v>
      </c>
      <c r="P6" s="4">
        <v>46143</v>
      </c>
      <c r="Q6" s="4">
        <v>46174</v>
      </c>
      <c r="R6" s="4">
        <v>46204</v>
      </c>
      <c r="S6" s="4">
        <v>46235</v>
      </c>
      <c r="T6" s="4">
        <v>46266</v>
      </c>
      <c r="U6" s="4">
        <v>46296</v>
      </c>
      <c r="V6" s="4">
        <v>46327</v>
      </c>
      <c r="W6" s="4">
        <v>46357</v>
      </c>
    </row>
    <row r="7" spans="2:23" x14ac:dyDescent="0.25">
      <c r="B7" t="s">
        <v>6</v>
      </c>
      <c r="C7" s="1">
        <v>49202382646.720001</v>
      </c>
      <c r="D7" s="1">
        <v>45669918416.410004</v>
      </c>
      <c r="E7" s="1">
        <v>50692296162.019997</v>
      </c>
      <c r="F7" s="1">
        <v>58294248763.230003</v>
      </c>
      <c r="G7" s="1">
        <v>65734909059.07</v>
      </c>
      <c r="J7" t="s">
        <v>13</v>
      </c>
      <c r="K7" s="3">
        <f>G3*(1+H4)</f>
        <v>98999690569.351303</v>
      </c>
      <c r="L7" s="1">
        <f>G3*(1+I4)</f>
        <v>90983913867.294266</v>
      </c>
      <c r="M7" s="1">
        <f>($K$7-$L$7)/11</f>
        <v>728706972.91427612</v>
      </c>
      <c r="N7" s="1">
        <f t="shared" ref="N7:W7" si="2">($K$7-$L$7)/11</f>
        <v>728706972.91427612</v>
      </c>
      <c r="O7" s="1">
        <f t="shared" si="2"/>
        <v>728706972.91427612</v>
      </c>
      <c r="P7" s="1">
        <f t="shared" si="2"/>
        <v>728706972.91427612</v>
      </c>
      <c r="Q7" s="1">
        <f t="shared" si="2"/>
        <v>728706972.91427612</v>
      </c>
      <c r="R7" s="1">
        <f t="shared" si="2"/>
        <v>728706972.91427612</v>
      </c>
      <c r="S7" s="1">
        <f t="shared" si="2"/>
        <v>728706972.91427612</v>
      </c>
      <c r="T7" s="1">
        <f t="shared" si="2"/>
        <v>728706972.91427612</v>
      </c>
      <c r="U7" s="1">
        <f t="shared" si="2"/>
        <v>728706972.91427612</v>
      </c>
      <c r="V7" s="1">
        <f t="shared" si="2"/>
        <v>728706972.91427612</v>
      </c>
      <c r="W7" s="1">
        <f t="shared" si="2"/>
        <v>728706972.91427612</v>
      </c>
    </row>
    <row r="8" spans="2:23" x14ac:dyDescent="0.25">
      <c r="B8" t="s">
        <v>1</v>
      </c>
      <c r="C8" t="s">
        <v>7</v>
      </c>
      <c r="D8" s="2">
        <f>D7/C7-1</f>
        <v>-7.1794576609705785E-2</v>
      </c>
      <c r="E8" s="2">
        <f t="shared" ref="E8:G8" si="3">E7/D7-1</f>
        <v>0.10997124408712233</v>
      </c>
      <c r="F8" s="2">
        <f t="shared" si="3"/>
        <v>0.14996268026433546</v>
      </c>
      <c r="G8" s="2">
        <f t="shared" si="3"/>
        <v>0.12763969780383055</v>
      </c>
      <c r="H8" s="5">
        <f>SUM(D8:G8)/4</f>
        <v>7.894476138639564E-2</v>
      </c>
    </row>
    <row r="9" spans="2:23" x14ac:dyDescent="0.25">
      <c r="B9" t="s">
        <v>4</v>
      </c>
      <c r="C9" s="1">
        <v>4302525869.3500004</v>
      </c>
      <c r="D9" s="1">
        <v>4452289443.4799995</v>
      </c>
      <c r="E9" s="1">
        <v>4938683866.21</v>
      </c>
      <c r="F9" s="1">
        <v>5294249066.1899996</v>
      </c>
      <c r="G9" s="1">
        <v>5254060908.04</v>
      </c>
      <c r="J9" t="s">
        <v>14</v>
      </c>
      <c r="K9" s="1">
        <f>G7*(1+H8)</f>
        <v>70924335769.49469</v>
      </c>
      <c r="L9" s="1">
        <f>$K$9/12</f>
        <v>5910361314.1245575</v>
      </c>
      <c r="M9" s="1">
        <f t="shared" ref="M9:W9" si="4">$K$9/12</f>
        <v>5910361314.1245575</v>
      </c>
      <c r="N9" s="1">
        <f t="shared" si="4"/>
        <v>5910361314.1245575</v>
      </c>
      <c r="O9" s="1">
        <f t="shared" si="4"/>
        <v>5910361314.1245575</v>
      </c>
      <c r="P9" s="1">
        <f t="shared" si="4"/>
        <v>5910361314.1245575</v>
      </c>
      <c r="Q9" s="1">
        <f t="shared" si="4"/>
        <v>5910361314.1245575</v>
      </c>
      <c r="R9" s="1">
        <f t="shared" si="4"/>
        <v>5910361314.1245575</v>
      </c>
      <c r="S9" s="1">
        <f t="shared" si="4"/>
        <v>5910361314.1245575</v>
      </c>
      <c r="T9" s="1">
        <f t="shared" si="4"/>
        <v>5910361314.1245575</v>
      </c>
      <c r="U9" s="1">
        <f t="shared" si="4"/>
        <v>5910361314.1245575</v>
      </c>
      <c r="V9" s="1">
        <f t="shared" si="4"/>
        <v>5910361314.1245575</v>
      </c>
      <c r="W9" s="1">
        <f t="shared" si="4"/>
        <v>5910361314.1245575</v>
      </c>
    </row>
    <row r="10" spans="2:23" x14ac:dyDescent="0.25">
      <c r="B10" t="s">
        <v>5</v>
      </c>
      <c r="C10" s="2">
        <f>C9/C3</f>
        <v>6.890521998717776E-2</v>
      </c>
      <c r="D10" s="2">
        <f t="shared" ref="D10:G10" si="5">D9/D3</f>
        <v>6.3896143129843083E-2</v>
      </c>
      <c r="E10" s="2">
        <f t="shared" si="5"/>
        <v>6.2398617631132379E-2</v>
      </c>
      <c r="F10" s="2">
        <f t="shared" si="5"/>
        <v>6.2816626121589794E-2</v>
      </c>
      <c r="G10" s="2">
        <f t="shared" si="5"/>
        <v>5.8213382793399354E-2</v>
      </c>
      <c r="H10" s="5">
        <f>SUM(C10:G10)/5</f>
        <v>6.3245997932628487E-2</v>
      </c>
    </row>
    <row r="11" spans="2:23" x14ac:dyDescent="0.25">
      <c r="L11" s="1">
        <f>SUM(L9:W9)+G7</f>
        <v>136659244828.5647</v>
      </c>
    </row>
    <row r="12" spans="2:23" x14ac:dyDescent="0.25">
      <c r="G12" t="s">
        <v>12</v>
      </c>
      <c r="H12" s="6">
        <f>G3*(1+H4)</f>
        <v>98999690569.351303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Meza Jasso</dc:creator>
  <cp:lastModifiedBy>Ossian Ramirez</cp:lastModifiedBy>
  <dcterms:created xsi:type="dcterms:W3CDTF">2026-05-13T00:42:07Z</dcterms:created>
  <dcterms:modified xsi:type="dcterms:W3CDTF">2026-05-18T01:15:59Z</dcterms:modified>
</cp:coreProperties>
</file>